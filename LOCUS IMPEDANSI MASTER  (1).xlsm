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project_ega\freelance\MCVS\"/>
    </mc:Choice>
  </mc:AlternateContent>
  <xr:revisionPtr revIDLastSave="0" documentId="13_ncr:1_{D340A78D-BCAA-4960-B086-66CD3D628B42}" xr6:coauthVersionLast="47" xr6:coauthVersionMax="47" xr10:uidLastSave="{00000000-0000-0000-0000-000000000000}"/>
  <bookViews>
    <workbookView xWindow="-120" yWindow="-120" windowWidth="29040" windowHeight="15840" tabRatio="708" activeTab="3" xr2:uid="{00000000-000D-0000-FFFF-FFFF00000000}"/>
  </bookViews>
  <sheets>
    <sheet name="LOCUS PH-G" sheetId="16" r:id="rId1"/>
    <sheet name="scroll sinusoidal data" sheetId="7" state="hidden" r:id="rId2"/>
    <sheet name="CHAR DATA" sheetId="6" r:id="rId3"/>
    <sheet name="LINE DATA" sheetId="1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40" i="12" l="1"/>
  <c r="AC140" i="12" s="1"/>
  <c r="AB141" i="12"/>
  <c r="AC141" i="12" s="1"/>
  <c r="T58" i="6"/>
  <c r="T55" i="6"/>
  <c r="C49" i="16"/>
  <c r="C50" i="16" s="1"/>
  <c r="C47" i="16"/>
  <c r="AB3" i="12"/>
  <c r="AB4" i="12"/>
  <c r="AB5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B108" i="12"/>
  <c r="AB109" i="12"/>
  <c r="AB110" i="12"/>
  <c r="AB111" i="12"/>
  <c r="AB112" i="12"/>
  <c r="AB113" i="12"/>
  <c r="AB114" i="12"/>
  <c r="AB115" i="12"/>
  <c r="AB116" i="12"/>
  <c r="AB117" i="12"/>
  <c r="AB118" i="12"/>
  <c r="AB119" i="12"/>
  <c r="AB120" i="12"/>
  <c r="AB121" i="12"/>
  <c r="AB122" i="12"/>
  <c r="AB123" i="12"/>
  <c r="AB124" i="12"/>
  <c r="AB125" i="12"/>
  <c r="AB126" i="12"/>
  <c r="AB127" i="12"/>
  <c r="AB128" i="12"/>
  <c r="AB129" i="12"/>
  <c r="AB130" i="12"/>
  <c r="AB131" i="12"/>
  <c r="AB132" i="12"/>
  <c r="AB133" i="12"/>
  <c r="AB134" i="12"/>
  <c r="AB135" i="12"/>
  <c r="AB136" i="12"/>
  <c r="AB137" i="12"/>
  <c r="AB138" i="12"/>
  <c r="AB139" i="12"/>
  <c r="AC139" i="12" s="1"/>
  <c r="AB2" i="12"/>
  <c r="AC138" i="12" l="1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C71" i="12"/>
  <c r="AC70" i="12"/>
  <c r="AC69" i="12"/>
  <c r="AC68" i="12"/>
  <c r="AC67" i="12"/>
  <c r="AC66" i="12"/>
  <c r="AC65" i="12"/>
  <c r="AC64" i="12"/>
  <c r="AC63" i="12"/>
  <c r="AC62" i="12"/>
  <c r="AC61" i="12"/>
  <c r="AC60" i="12"/>
  <c r="AC59" i="12"/>
  <c r="AC58" i="12"/>
  <c r="AC57" i="12"/>
  <c r="AC56" i="12"/>
  <c r="AC55" i="12"/>
  <c r="AC54" i="12"/>
  <c r="AC53" i="12"/>
  <c r="AC52" i="12"/>
  <c r="AC51" i="12"/>
  <c r="AC50" i="12"/>
  <c r="AC49" i="12"/>
  <c r="AC48" i="12"/>
  <c r="AC47" i="12"/>
  <c r="AC46" i="12"/>
  <c r="AC45" i="12"/>
  <c r="AC44" i="12"/>
  <c r="AC43" i="12"/>
  <c r="AC42" i="12"/>
  <c r="AC41" i="12"/>
  <c r="AC40" i="12"/>
  <c r="AC39" i="12"/>
  <c r="AC38" i="12"/>
  <c r="AC37" i="12"/>
  <c r="AC36" i="12"/>
  <c r="AC35" i="12"/>
  <c r="AC34" i="12"/>
  <c r="AC33" i="12"/>
  <c r="AC32" i="12"/>
  <c r="AC31" i="12"/>
  <c r="AC30" i="12"/>
  <c r="AC29" i="12"/>
  <c r="AC28" i="12"/>
  <c r="AC27" i="12"/>
  <c r="AC26" i="12"/>
  <c r="AC25" i="12"/>
  <c r="AC24" i="12"/>
  <c r="AC23" i="12"/>
  <c r="AC22" i="12"/>
  <c r="AC21" i="12"/>
  <c r="AC20" i="12"/>
  <c r="AC19" i="12"/>
  <c r="AC18" i="12"/>
  <c r="AC17" i="12"/>
  <c r="AC16" i="12"/>
  <c r="AC15" i="12"/>
  <c r="AC14" i="12"/>
  <c r="AC13" i="12"/>
  <c r="AC12" i="12"/>
  <c r="AC11" i="12"/>
  <c r="AC10" i="12"/>
  <c r="AC9" i="12"/>
  <c r="AC8" i="12"/>
  <c r="AC7" i="12"/>
  <c r="AC6" i="12"/>
  <c r="AC5" i="12"/>
  <c r="AC4" i="12"/>
  <c r="AC3" i="12"/>
  <c r="AC2" i="12"/>
  <c r="F43" i="6"/>
  <c r="F42" i="6"/>
  <c r="F41" i="6"/>
  <c r="F40" i="6"/>
  <c r="F39" i="6"/>
  <c r="F38" i="6"/>
  <c r="AC142" i="12" l="1"/>
  <c r="J4" i="16" s="1"/>
  <c r="X12" i="6" l="1"/>
  <c r="T12" i="6"/>
  <c r="S12" i="6"/>
  <c r="X11" i="6"/>
  <c r="T11" i="6"/>
  <c r="S11" i="6"/>
  <c r="X10" i="6"/>
  <c r="T10" i="6"/>
  <c r="S10" i="6"/>
  <c r="I12" i="6"/>
  <c r="D11" i="6"/>
  <c r="I10" i="6"/>
  <c r="E12" i="6"/>
  <c r="D12" i="6"/>
  <c r="I11" i="6"/>
  <c r="E11" i="6"/>
  <c r="E10" i="6"/>
  <c r="D10" i="6"/>
  <c r="AC30" i="6" l="1"/>
  <c r="AC33" i="6" s="1"/>
  <c r="AB30" i="6"/>
  <c r="AB33" i="6" s="1"/>
  <c r="AC24" i="6"/>
  <c r="AC26" i="6" s="1"/>
  <c r="AB24" i="6"/>
  <c r="AB26" i="6" s="1"/>
  <c r="T24" i="6"/>
  <c r="T26" i="6" s="1"/>
  <c r="S24" i="6"/>
  <c r="S26" i="6" s="1"/>
  <c r="T30" i="6"/>
  <c r="T33" i="6" s="1"/>
  <c r="S30" i="6"/>
  <c r="S33" i="6" s="1"/>
  <c r="V12" i="6"/>
  <c r="AC15" i="6" s="1"/>
  <c r="U12" i="6"/>
  <c r="AB15" i="6" s="1"/>
  <c r="AB17" i="6" s="1"/>
  <c r="Y30" i="6"/>
  <c r="Y33" i="6" s="1"/>
  <c r="X30" i="6"/>
  <c r="X33" i="6" s="1"/>
  <c r="Y24" i="6"/>
  <c r="Y26" i="6" s="1"/>
  <c r="X24" i="6"/>
  <c r="X26" i="6" s="1"/>
  <c r="J30" i="6"/>
  <c r="J33" i="6" s="1"/>
  <c r="I30" i="6"/>
  <c r="I33" i="6" s="1"/>
  <c r="J24" i="6"/>
  <c r="J26" i="6" s="1"/>
  <c r="I24" i="6"/>
  <c r="I26" i="6" s="1"/>
  <c r="E30" i="6"/>
  <c r="E33" i="6" s="1"/>
  <c r="D30" i="6"/>
  <c r="D33" i="6" s="1"/>
  <c r="E24" i="6"/>
  <c r="E26" i="6" s="1"/>
  <c r="S43" i="6"/>
  <c r="S45" i="6" s="1"/>
  <c r="D24" i="6"/>
  <c r="D26" i="6" s="1"/>
  <c r="U11" i="6"/>
  <c r="X15" i="6" s="1"/>
  <c r="X17" i="6" s="1"/>
  <c r="V11" i="6"/>
  <c r="Y15" i="6" s="1"/>
  <c r="G12" i="6"/>
  <c r="N15" i="6" s="1"/>
  <c r="F12" i="6"/>
  <c r="M15" i="6" s="1"/>
  <c r="M17" i="6" s="1"/>
  <c r="T39" i="6"/>
  <c r="T41" i="6" s="1"/>
  <c r="G10" i="6"/>
  <c r="E15" i="6" s="1"/>
  <c r="F10" i="6"/>
  <c r="D15" i="6" s="1"/>
  <c r="D17" i="6" s="1"/>
  <c r="V10" i="6"/>
  <c r="T15" i="6" s="1"/>
  <c r="U10" i="6"/>
  <c r="S15" i="6" s="1"/>
  <c r="S17" i="6" s="1"/>
  <c r="N24" i="6"/>
  <c r="N26" i="6" s="1"/>
  <c r="M24" i="6"/>
  <c r="M26" i="6" s="1"/>
  <c r="N30" i="6"/>
  <c r="N33" i="6" s="1"/>
  <c r="M30" i="6"/>
  <c r="M33" i="6" s="1"/>
  <c r="G11" i="6"/>
  <c r="J15" i="6" s="1"/>
  <c r="F11" i="6"/>
  <c r="I15" i="6" s="1"/>
  <c r="I17" i="6" s="1"/>
  <c r="D18" i="6" l="1"/>
  <c r="D27" i="6" s="1"/>
  <c r="D20" i="6"/>
  <c r="D21" i="6" s="1"/>
  <c r="D32" i="6" s="1"/>
  <c r="E21" i="6"/>
  <c r="E32" i="6" s="1"/>
  <c r="E18" i="6"/>
  <c r="E27" i="6"/>
  <c r="E20" i="6"/>
  <c r="E17" i="6"/>
  <c r="M20" i="6"/>
  <c r="M21" i="6" s="1"/>
  <c r="M32" i="6" s="1"/>
  <c r="M18" i="6"/>
  <c r="M27" i="6" s="1"/>
  <c r="J21" i="6"/>
  <c r="J32" i="6" s="1"/>
  <c r="J18" i="6"/>
  <c r="J27" i="6"/>
  <c r="J20" i="6"/>
  <c r="J17" i="6"/>
  <c r="S20" i="6"/>
  <c r="S21" i="6" s="1"/>
  <c r="S32" i="6" s="1"/>
  <c r="S18" i="6"/>
  <c r="S27" i="6" s="1"/>
  <c r="N27" i="6"/>
  <c r="N20" i="6"/>
  <c r="N17" i="6"/>
  <c r="N21" i="6"/>
  <c r="N32" i="6" s="1"/>
  <c r="N18" i="6"/>
  <c r="T27" i="6"/>
  <c r="T20" i="6"/>
  <c r="T17" i="6"/>
  <c r="T21" i="6"/>
  <c r="T32" i="6" s="1"/>
  <c r="T18" i="6"/>
  <c r="Y21" i="6"/>
  <c r="Y32" i="6" s="1"/>
  <c r="Y18" i="6"/>
  <c r="Y27" i="6"/>
  <c r="Y20" i="6"/>
  <c r="Y17" i="6"/>
  <c r="AB18" i="6"/>
  <c r="AB27" i="6" s="1"/>
  <c r="AB20" i="6"/>
  <c r="AB21" i="6" s="1"/>
  <c r="AB32" i="6" s="1"/>
  <c r="X18" i="6"/>
  <c r="X27" i="6" s="1"/>
  <c r="X20" i="6"/>
  <c r="X21" i="6" s="1"/>
  <c r="X32" i="6" s="1"/>
  <c r="AC21" i="6"/>
  <c r="AC32" i="6" s="1"/>
  <c r="AC18" i="6"/>
  <c r="AC27" i="6"/>
  <c r="AC20" i="6"/>
  <c r="AC17" i="6"/>
  <c r="I18" i="6"/>
  <c r="I27" i="6" s="1"/>
  <c r="I20" i="6"/>
  <c r="I21" i="6" s="1"/>
  <c r="I32" i="6" s="1"/>
  <c r="B4" i="7" l="1"/>
  <c r="B5" i="7" l="1"/>
  <c r="B6" i="7" l="1"/>
  <c r="B7" i="7" l="1"/>
  <c r="B8" i="7" l="1"/>
  <c r="C4" i="7" l="1"/>
  <c r="B9" i="7"/>
  <c r="C5" i="7" l="1"/>
  <c r="B10" i="7"/>
  <c r="C6" i="7" l="1"/>
  <c r="B11" i="7"/>
  <c r="C7" i="7" l="1"/>
  <c r="B12" i="7"/>
  <c r="C8" i="7" l="1"/>
  <c r="B13" i="7"/>
  <c r="C9" i="7" l="1"/>
  <c r="B14" i="7"/>
  <c r="C10" i="7" l="1"/>
  <c r="B15" i="7"/>
  <c r="C11" i="7" l="1"/>
  <c r="B16" i="7"/>
  <c r="C12" i="7" l="1"/>
  <c r="B17" i="7"/>
  <c r="C13" i="7" l="1"/>
  <c r="B18" i="7"/>
  <c r="C14" i="7" l="1"/>
  <c r="B19" i="7"/>
  <c r="C15" i="7" l="1"/>
  <c r="B20" i="7"/>
  <c r="C16" i="7" l="1"/>
  <c r="B21" i="7"/>
  <c r="C17" i="7" l="1"/>
  <c r="B22" i="7"/>
  <c r="C18" i="7" l="1"/>
  <c r="B23" i="7"/>
  <c r="C19" i="7" l="1"/>
  <c r="B24" i="7"/>
  <c r="C20" i="7" l="1"/>
  <c r="B25" i="7"/>
  <c r="C21" i="7" l="1"/>
  <c r="B26" i="7"/>
  <c r="C22" i="7" l="1"/>
  <c r="B27" i="7"/>
  <c r="C23" i="7" l="1"/>
  <c r="B28" i="7"/>
  <c r="C24" i="7" l="1"/>
  <c r="B29" i="7"/>
  <c r="C25" i="7" l="1"/>
  <c r="B30" i="7"/>
  <c r="C26" i="7" l="1"/>
  <c r="B31" i="7"/>
  <c r="C27" i="7" l="1"/>
  <c r="B32" i="7"/>
  <c r="C28" i="7" l="1"/>
  <c r="B33" i="7"/>
  <c r="C29" i="7" l="1"/>
  <c r="B34" i="7"/>
  <c r="C30" i="7" l="1"/>
  <c r="B35" i="7"/>
  <c r="C31" i="7" l="1"/>
  <c r="B36" i="7"/>
  <c r="C32" i="7" l="1"/>
  <c r="B37" i="7"/>
  <c r="C33" i="7" l="1"/>
  <c r="B38" i="7"/>
  <c r="C34" i="7" l="1"/>
  <c r="B39" i="7"/>
  <c r="C35" i="7" l="1"/>
  <c r="B40" i="7"/>
  <c r="C36" i="7" l="1"/>
  <c r="B41" i="7"/>
  <c r="C37" i="7" l="1"/>
  <c r="B42" i="7"/>
  <c r="C38" i="7" l="1"/>
  <c r="B43" i="7"/>
  <c r="C39" i="7" l="1"/>
  <c r="B44" i="7"/>
  <c r="C40" i="7" l="1"/>
  <c r="B45" i="7"/>
  <c r="C41" i="7" l="1"/>
  <c r="B46" i="7"/>
  <c r="C42" i="7" l="1"/>
  <c r="C43" i="7" l="1"/>
  <c r="B47" i="7"/>
  <c r="B48" i="7"/>
  <c r="C44" i="7" l="1"/>
  <c r="B49" i="7"/>
  <c r="C45" i="7" l="1"/>
  <c r="B50" i="7"/>
  <c r="C46" i="7" l="1"/>
  <c r="B51" i="7"/>
  <c r="C47" i="7" l="1"/>
  <c r="B52" i="7"/>
  <c r="C48" i="7" l="1"/>
  <c r="B53" i="7"/>
  <c r="C49" i="7" l="1"/>
  <c r="B54" i="7"/>
  <c r="C50" i="7" l="1"/>
  <c r="B55" i="7"/>
  <c r="C51" i="7" l="1"/>
  <c r="B56" i="7"/>
  <c r="C52" i="7" l="1"/>
  <c r="B57" i="7"/>
  <c r="C53" i="7" l="1"/>
  <c r="B58" i="7"/>
  <c r="C54" i="7" l="1"/>
  <c r="B59" i="7"/>
  <c r="C55" i="7" l="1"/>
  <c r="B60" i="7"/>
  <c r="C56" i="7" l="1"/>
  <c r="B61" i="7"/>
  <c r="C57" i="7" l="1"/>
  <c r="B62" i="7"/>
  <c r="C58" i="7" l="1"/>
  <c r="B63" i="7"/>
  <c r="C59" i="7" l="1"/>
  <c r="B64" i="7"/>
  <c r="C60" i="7" l="1"/>
  <c r="B65" i="7"/>
  <c r="C61" i="7" l="1"/>
  <c r="B66" i="7"/>
  <c r="C62" i="7" l="1"/>
  <c r="C63" i="7" l="1"/>
  <c r="B67" i="7"/>
  <c r="B68" i="7"/>
  <c r="C64" i="7" l="1"/>
  <c r="B69" i="7"/>
  <c r="C65" i="7" l="1"/>
  <c r="B70" i="7"/>
  <c r="C66" i="7" l="1"/>
  <c r="B71" i="7"/>
  <c r="C67" i="7" l="1"/>
  <c r="B72" i="7"/>
  <c r="C68" i="7" l="1"/>
  <c r="B73" i="7"/>
  <c r="C69" i="7" l="1"/>
  <c r="B74" i="7"/>
  <c r="C70" i="7" l="1"/>
  <c r="B75" i="7"/>
  <c r="C71" i="7" l="1"/>
  <c r="B76" i="7"/>
  <c r="C72" i="7" l="1"/>
  <c r="B77" i="7"/>
  <c r="C73" i="7" l="1"/>
  <c r="B78" i="7"/>
  <c r="C74" i="7" l="1"/>
  <c r="B79" i="7"/>
  <c r="C75" i="7" l="1"/>
  <c r="B80" i="7"/>
  <c r="C76" i="7" l="1"/>
  <c r="B81" i="7"/>
  <c r="C77" i="7" l="1"/>
  <c r="B82" i="7"/>
  <c r="C78" i="7" l="1"/>
  <c r="B83" i="7"/>
  <c r="C79" i="7" l="1"/>
  <c r="B84" i="7"/>
  <c r="C80" i="7" l="1"/>
  <c r="B85" i="7"/>
  <c r="C81" i="7" l="1"/>
  <c r="B86" i="7"/>
  <c r="C82" i="7" l="1"/>
  <c r="B87" i="7"/>
  <c r="C83" i="7" l="1"/>
  <c r="B88" i="7"/>
  <c r="C84" i="7" l="1"/>
  <c r="B89" i="7"/>
  <c r="C85" i="7" l="1"/>
  <c r="B90" i="7"/>
  <c r="C86" i="7" l="1"/>
  <c r="B91" i="7"/>
  <c r="C87" i="7" l="1"/>
  <c r="B92" i="7"/>
  <c r="C88" i="7" l="1"/>
  <c r="B93" i="7"/>
  <c r="C89" i="7" l="1"/>
  <c r="B94" i="7"/>
  <c r="C90" i="7" l="1"/>
  <c r="B95" i="7"/>
  <c r="C91" i="7" l="1"/>
  <c r="B96" i="7"/>
  <c r="C92" i="7" l="1"/>
  <c r="B97" i="7"/>
  <c r="C93" i="7" l="1"/>
  <c r="B98" i="7"/>
  <c r="C94" i="7" l="1"/>
  <c r="B99" i="7"/>
  <c r="C95" i="7" l="1"/>
  <c r="B100" i="7"/>
  <c r="C96" i="7" l="1"/>
  <c r="B101" i="7"/>
  <c r="C97" i="7" l="1"/>
  <c r="B102" i="7"/>
  <c r="C98" i="7" l="1"/>
  <c r="B103" i="7"/>
  <c r="C99" i="7" l="1"/>
  <c r="B104" i="7"/>
  <c r="C100" i="7" l="1"/>
  <c r="B105" i="7"/>
  <c r="C101" i="7" l="1"/>
  <c r="B106" i="7"/>
  <c r="C102" i="7" l="1"/>
  <c r="B107" i="7"/>
  <c r="C103" i="7" l="1"/>
  <c r="B108" i="7"/>
  <c r="C104" i="7" l="1"/>
  <c r="B109" i="7"/>
  <c r="C105" i="7" l="1"/>
  <c r="B110" i="7"/>
  <c r="C106" i="7" l="1"/>
  <c r="B111" i="7"/>
  <c r="C107" i="7" l="1"/>
  <c r="C108" i="7" l="1"/>
  <c r="B112" i="7"/>
  <c r="B113" i="7"/>
  <c r="C109" i="7" l="1"/>
  <c r="B114" i="7"/>
  <c r="C110" i="7" l="1"/>
  <c r="B115" i="7"/>
  <c r="C111" i="7" l="1"/>
  <c r="B116" i="7"/>
  <c r="C112" i="7" l="1"/>
  <c r="B117" i="7"/>
  <c r="C113" i="7" l="1"/>
  <c r="B118" i="7"/>
  <c r="C114" i="7" l="1"/>
  <c r="B119" i="7"/>
  <c r="C115" i="7" l="1"/>
  <c r="B120" i="7"/>
  <c r="C116" i="7" l="1"/>
  <c r="B121" i="7"/>
  <c r="C117" i="7" l="1"/>
  <c r="B122" i="7"/>
  <c r="C118" i="7" l="1"/>
  <c r="B123" i="7"/>
  <c r="C119" i="7" l="1"/>
  <c r="B124" i="7"/>
  <c r="C120" i="7" l="1"/>
  <c r="B125" i="7"/>
  <c r="C121" i="7" l="1"/>
  <c r="B126" i="7"/>
  <c r="C122" i="7" l="1"/>
  <c r="C123" i="7" l="1"/>
  <c r="B127" i="7"/>
  <c r="B128" i="7"/>
  <c r="C124" i="7" l="1"/>
  <c r="B129" i="7"/>
  <c r="C125" i="7" l="1"/>
  <c r="B130" i="7"/>
  <c r="C126" i="7" l="1"/>
  <c r="B131" i="7"/>
  <c r="C127" i="7" l="1"/>
  <c r="C128" i="7" l="1"/>
  <c r="B132" i="7"/>
  <c r="B133" i="7"/>
  <c r="C129" i="7" l="1"/>
  <c r="B134" i="7"/>
  <c r="C130" i="7" l="1"/>
  <c r="B135" i="7"/>
  <c r="C131" i="7" l="1"/>
  <c r="B136" i="7"/>
  <c r="C132" i="7" l="1"/>
  <c r="B137" i="7"/>
  <c r="C133" i="7" l="1"/>
  <c r="B138" i="7"/>
  <c r="C134" i="7" l="1"/>
  <c r="B139" i="7"/>
  <c r="C135" i="7" l="1"/>
  <c r="B140" i="7"/>
  <c r="C136" i="7" l="1"/>
  <c r="B141" i="7"/>
  <c r="C137" i="7" l="1"/>
  <c r="B142" i="7"/>
  <c r="C138" i="7" l="1"/>
  <c r="B143" i="7"/>
  <c r="C139" i="7" l="1"/>
  <c r="B144" i="7"/>
  <c r="C140" i="7" l="1"/>
  <c r="B145" i="7"/>
  <c r="C141" i="7" l="1"/>
  <c r="B146" i="7"/>
  <c r="C142" i="7" l="1"/>
  <c r="B147" i="7"/>
  <c r="C143" i="7" l="1"/>
  <c r="B148" i="7"/>
  <c r="C144" i="7" l="1"/>
  <c r="B149" i="7"/>
  <c r="C145" i="7" l="1"/>
  <c r="B150" i="7"/>
  <c r="C146" i="7" l="1"/>
  <c r="B151" i="7"/>
  <c r="C147" i="7" l="1"/>
  <c r="B152" i="7"/>
  <c r="C148" i="7" l="1"/>
  <c r="B153" i="7"/>
  <c r="C149" i="7" l="1"/>
  <c r="B154" i="7"/>
  <c r="C150" i="7" l="1"/>
  <c r="B155" i="7"/>
  <c r="C151" i="7" l="1"/>
  <c r="B156" i="7"/>
  <c r="C152" i="7" l="1"/>
  <c r="B157" i="7"/>
  <c r="C153" i="7" l="1"/>
  <c r="B158" i="7"/>
  <c r="C154" i="7" l="1"/>
  <c r="B159" i="7"/>
  <c r="C155" i="7" l="1"/>
  <c r="B160" i="7"/>
  <c r="C156" i="7" l="1"/>
  <c r="B161" i="7"/>
  <c r="C157" i="7" l="1"/>
  <c r="B162" i="7"/>
  <c r="C158" i="7" l="1"/>
  <c r="B163" i="7"/>
  <c r="C159" i="7" l="1"/>
  <c r="B164" i="7"/>
  <c r="C160" i="7" l="1"/>
  <c r="B165" i="7"/>
  <c r="C161" i="7" l="1"/>
  <c r="B166" i="7"/>
  <c r="C162" i="7" l="1"/>
  <c r="B167" i="7"/>
  <c r="C163" i="7" l="1"/>
  <c r="B168" i="7"/>
  <c r="C164" i="7" l="1"/>
  <c r="B169" i="7"/>
  <c r="C165" i="7" l="1"/>
  <c r="B170" i="7"/>
  <c r="C166" i="7" l="1"/>
  <c r="B171" i="7"/>
  <c r="C167" i="7" l="1"/>
  <c r="B172" i="7"/>
  <c r="C168" i="7" l="1"/>
  <c r="B173" i="7"/>
  <c r="C169" i="7" l="1"/>
  <c r="B174" i="7"/>
  <c r="C170" i="7" l="1"/>
  <c r="B175" i="7"/>
  <c r="C171" i="7" l="1"/>
  <c r="B176" i="7"/>
  <c r="C172" i="7" l="1"/>
  <c r="B177" i="7"/>
  <c r="C173" i="7" l="1"/>
  <c r="B178" i="7"/>
  <c r="C174" i="7" l="1"/>
  <c r="B179" i="7"/>
  <c r="C175" i="7" l="1"/>
  <c r="B180" i="7"/>
  <c r="C176" i="7" l="1"/>
  <c r="B181" i="7"/>
  <c r="C177" i="7" l="1"/>
  <c r="B182" i="7"/>
  <c r="C178" i="7" l="1"/>
  <c r="B183" i="7"/>
  <c r="C179" i="7" l="1"/>
  <c r="B184" i="7"/>
  <c r="C180" i="7" l="1"/>
  <c r="B185" i="7"/>
  <c r="C181" i="7" l="1"/>
  <c r="B186" i="7"/>
  <c r="C182" i="7" l="1"/>
  <c r="B187" i="7"/>
  <c r="C183" i="7" l="1"/>
  <c r="B188" i="7"/>
  <c r="C184" i="7" l="1"/>
  <c r="B189" i="7"/>
  <c r="C185" i="7" l="1"/>
  <c r="B190" i="7"/>
  <c r="C186" i="7" l="1"/>
  <c r="B191" i="7"/>
  <c r="C187" i="7" l="1"/>
  <c r="B192" i="7"/>
  <c r="C188" i="7" l="1"/>
  <c r="B193" i="7"/>
  <c r="C189" i="7" l="1"/>
  <c r="B194" i="7"/>
  <c r="C190" i="7" l="1"/>
  <c r="B195" i="7"/>
  <c r="C191" i="7" l="1"/>
  <c r="B196" i="7"/>
  <c r="C192" i="7" l="1"/>
  <c r="B197" i="7"/>
  <c r="C193" i="7" l="1"/>
  <c r="B198" i="7"/>
  <c r="C194" i="7" l="1"/>
  <c r="B199" i="7"/>
  <c r="C195" i="7" l="1"/>
  <c r="B200" i="7"/>
  <c r="C196" i="7" l="1"/>
  <c r="B201" i="7"/>
  <c r="C197" i="7" l="1"/>
  <c r="B202" i="7"/>
  <c r="C198" i="7" l="1"/>
  <c r="B203" i="7"/>
  <c r="C199" i="7" l="1"/>
  <c r="B204" i="7"/>
  <c r="C200" i="7" l="1"/>
  <c r="B205" i="7"/>
  <c r="C201" i="7" l="1"/>
  <c r="B206" i="7"/>
  <c r="C202" i="7" l="1"/>
  <c r="B207" i="7"/>
  <c r="C203" i="7" l="1"/>
  <c r="B208" i="7"/>
  <c r="C204" i="7" l="1"/>
  <c r="B209" i="7"/>
  <c r="C205" i="7" l="1"/>
  <c r="B210" i="7"/>
  <c r="C206" i="7" l="1"/>
  <c r="B211" i="7"/>
  <c r="C207" i="7" l="1"/>
  <c r="B212" i="7"/>
  <c r="C208" i="7" l="1"/>
  <c r="B213" i="7"/>
  <c r="C209" i="7" l="1"/>
  <c r="B214" i="7"/>
  <c r="C210" i="7" l="1"/>
  <c r="B215" i="7"/>
  <c r="C211" i="7" l="1"/>
  <c r="B216" i="7"/>
  <c r="C212" i="7" l="1"/>
  <c r="B217" i="7"/>
  <c r="C213" i="7" l="1"/>
  <c r="B218" i="7"/>
  <c r="C214" i="7" l="1"/>
  <c r="B219" i="7"/>
  <c r="C215" i="7" l="1"/>
  <c r="B220" i="7"/>
  <c r="C216" i="7" l="1"/>
  <c r="B221" i="7"/>
  <c r="C217" i="7" l="1"/>
  <c r="B222" i="7"/>
  <c r="C218" i="7" l="1"/>
  <c r="B223" i="7"/>
  <c r="C219" i="7" l="1"/>
  <c r="B224" i="7"/>
  <c r="C220" i="7" l="1"/>
  <c r="B225" i="7"/>
  <c r="C221" i="7" l="1"/>
  <c r="B226" i="7"/>
  <c r="C222" i="7" l="1"/>
  <c r="B227" i="7"/>
  <c r="C223" i="7" l="1"/>
  <c r="B228" i="7"/>
  <c r="C224" i="7" l="1"/>
  <c r="B229" i="7"/>
  <c r="C225" i="7" l="1"/>
  <c r="B230" i="7"/>
  <c r="C226" i="7" l="1"/>
  <c r="B231" i="7"/>
  <c r="C227" i="7" l="1"/>
  <c r="B232" i="7"/>
  <c r="C228" i="7" l="1"/>
  <c r="B233" i="7"/>
  <c r="C229" i="7" l="1"/>
  <c r="B234" i="7"/>
  <c r="C230" i="7" l="1"/>
  <c r="B235" i="7"/>
  <c r="C231" i="7" l="1"/>
  <c r="B236" i="7"/>
  <c r="C232" i="7" l="1"/>
  <c r="B237" i="7"/>
  <c r="C233" i="7" l="1"/>
  <c r="B238" i="7"/>
  <c r="C234" i="7" l="1"/>
  <c r="B239" i="7"/>
  <c r="C235" i="7" l="1"/>
  <c r="B240" i="7"/>
  <c r="C236" i="7" l="1"/>
  <c r="B241" i="7"/>
  <c r="C237" i="7" l="1"/>
  <c r="B242" i="7"/>
  <c r="C238" i="7" l="1"/>
  <c r="B243" i="7"/>
  <c r="C239" i="7" l="1"/>
  <c r="B244" i="7"/>
  <c r="C240" i="7" l="1"/>
  <c r="B245" i="7"/>
  <c r="C241" i="7" l="1"/>
  <c r="B246" i="7"/>
  <c r="C242" i="7" l="1"/>
  <c r="B247" i="7"/>
  <c r="C243" i="7" l="1"/>
  <c r="B248" i="7"/>
  <c r="C244" i="7" l="1"/>
  <c r="B249" i="7"/>
  <c r="C245" i="7" l="1"/>
  <c r="B250" i="7"/>
  <c r="C246" i="7" l="1"/>
  <c r="B251" i="7"/>
  <c r="C247" i="7" l="1"/>
  <c r="B252" i="7"/>
  <c r="C248" i="7" l="1"/>
  <c r="B253" i="7"/>
  <c r="C249" i="7" l="1"/>
  <c r="B254" i="7"/>
  <c r="C250" i="7" l="1"/>
  <c r="B255" i="7"/>
  <c r="C251" i="7" l="1"/>
  <c r="B256" i="7"/>
  <c r="C252" i="7" l="1"/>
  <c r="B257" i="7"/>
  <c r="C253" i="7" l="1"/>
  <c r="B258" i="7"/>
  <c r="C254" i="7" l="1"/>
  <c r="B259" i="7"/>
  <c r="C255" i="7" l="1"/>
  <c r="B260" i="7"/>
  <c r="C256" i="7" l="1"/>
  <c r="B261" i="7"/>
  <c r="C257" i="7" l="1"/>
  <c r="B262" i="7"/>
  <c r="C258" i="7" l="1"/>
  <c r="B263" i="7"/>
  <c r="C259" i="7" l="1"/>
  <c r="B264" i="7"/>
  <c r="C260" i="7" l="1"/>
  <c r="B265" i="7"/>
  <c r="C261" i="7" l="1"/>
  <c r="B266" i="7"/>
  <c r="C262" i="7" l="1"/>
  <c r="B267" i="7"/>
  <c r="C263" i="7" l="1"/>
  <c r="B268" i="7"/>
  <c r="C264" i="7" l="1"/>
  <c r="B269" i="7"/>
  <c r="C265" i="7" l="1"/>
  <c r="B270" i="7"/>
  <c r="C266" i="7" l="1"/>
  <c r="B271" i="7"/>
  <c r="C267" i="7" l="1"/>
  <c r="B272" i="7"/>
  <c r="C268" i="7" l="1"/>
  <c r="B273" i="7"/>
  <c r="C269" i="7" l="1"/>
  <c r="B274" i="7"/>
  <c r="C270" i="7" l="1"/>
  <c r="B275" i="7"/>
  <c r="C271" i="7" l="1"/>
  <c r="B276" i="7"/>
  <c r="C272" i="7" l="1"/>
  <c r="B277" i="7"/>
  <c r="C273" i="7" l="1"/>
  <c r="B278" i="7"/>
  <c r="C274" i="7" l="1"/>
  <c r="B279" i="7"/>
  <c r="C275" i="7" l="1"/>
  <c r="B280" i="7"/>
  <c r="C276" i="7" l="1"/>
  <c r="B281" i="7"/>
  <c r="C277" i="7" l="1"/>
  <c r="B282" i="7"/>
  <c r="C278" i="7" l="1"/>
  <c r="B283" i="7"/>
  <c r="C279" i="7" l="1"/>
  <c r="B284" i="7"/>
  <c r="C280" i="7" l="1"/>
  <c r="B285" i="7"/>
  <c r="C281" i="7" l="1"/>
  <c r="B286" i="7"/>
  <c r="C282" i="7" l="1"/>
  <c r="B287" i="7"/>
  <c r="C283" i="7" l="1"/>
  <c r="B288" i="7"/>
  <c r="C284" i="7" l="1"/>
  <c r="B289" i="7"/>
  <c r="C285" i="7" l="1"/>
  <c r="B290" i="7"/>
  <c r="C286" i="7" l="1"/>
  <c r="B291" i="7"/>
  <c r="C287" i="7" l="1"/>
  <c r="B292" i="7"/>
  <c r="C288" i="7" l="1"/>
  <c r="B293" i="7"/>
  <c r="C289" i="7" l="1"/>
  <c r="B294" i="7"/>
  <c r="C290" i="7" l="1"/>
  <c r="B295" i="7"/>
  <c r="C291" i="7" l="1"/>
  <c r="B296" i="7"/>
  <c r="C292" i="7" l="1"/>
  <c r="B297" i="7"/>
  <c r="C293" i="7" l="1"/>
  <c r="B298" i="7"/>
  <c r="C294" i="7" l="1"/>
  <c r="B299" i="7"/>
  <c r="C295" i="7" l="1"/>
  <c r="B300" i="7"/>
  <c r="C296" i="7" l="1"/>
  <c r="B301" i="7"/>
  <c r="C297" i="7" l="1"/>
  <c r="B302" i="7"/>
  <c r="C298" i="7" l="1"/>
  <c r="B303" i="7"/>
  <c r="C299" i="7" l="1"/>
  <c r="B304" i="7"/>
  <c r="C300" i="7" l="1"/>
  <c r="B305" i="7"/>
  <c r="C301" i="7" l="1"/>
  <c r="B306" i="7"/>
  <c r="C302" i="7" l="1"/>
  <c r="B307" i="7"/>
  <c r="C303" i="7" l="1"/>
  <c r="B308" i="7"/>
  <c r="C304" i="7" l="1"/>
  <c r="B309" i="7"/>
  <c r="C305" i="7" l="1"/>
  <c r="B310" i="7"/>
  <c r="C306" i="7" l="1"/>
  <c r="B311" i="7"/>
  <c r="C307" i="7" l="1"/>
  <c r="B312" i="7"/>
  <c r="C308" i="7" l="1"/>
  <c r="B313" i="7"/>
  <c r="C309" i="7" l="1"/>
  <c r="B314" i="7"/>
  <c r="C310" i="7" l="1"/>
  <c r="B315" i="7"/>
  <c r="C311" i="7" l="1"/>
  <c r="B316" i="7"/>
  <c r="C312" i="7" l="1"/>
  <c r="B317" i="7"/>
  <c r="C313" i="7" l="1"/>
  <c r="B318" i="7"/>
  <c r="C314" i="7" l="1"/>
  <c r="B319" i="7"/>
  <c r="C315" i="7" l="1"/>
  <c r="B320" i="7"/>
  <c r="C316" i="7" l="1"/>
  <c r="B321" i="7"/>
  <c r="C317" i="7" l="1"/>
  <c r="B322" i="7"/>
  <c r="C318" i="7" l="1"/>
  <c r="B323" i="7"/>
  <c r="C319" i="7" l="1"/>
  <c r="B324" i="7"/>
  <c r="C320" i="7" l="1"/>
  <c r="B325" i="7"/>
  <c r="C321" i="7" l="1"/>
  <c r="B326" i="7"/>
  <c r="C322" i="7" l="1"/>
  <c r="B327" i="7"/>
  <c r="C323" i="7" l="1"/>
  <c r="B328" i="7"/>
  <c r="C324" i="7" l="1"/>
  <c r="B329" i="7"/>
  <c r="C325" i="7" l="1"/>
  <c r="B330" i="7"/>
  <c r="C326" i="7" l="1"/>
  <c r="B331" i="7"/>
  <c r="C327" i="7" l="1"/>
  <c r="B332" i="7"/>
  <c r="C328" i="7" l="1"/>
  <c r="B333" i="7"/>
  <c r="C329" i="7" l="1"/>
  <c r="B334" i="7"/>
  <c r="C330" i="7" l="1"/>
  <c r="B335" i="7"/>
  <c r="C331" i="7" l="1"/>
  <c r="B336" i="7"/>
  <c r="C332" i="7" l="1"/>
  <c r="B337" i="7"/>
  <c r="C333" i="7" l="1"/>
  <c r="B338" i="7"/>
  <c r="C334" i="7" l="1"/>
  <c r="B339" i="7"/>
  <c r="C335" i="7" l="1"/>
  <c r="B340" i="7"/>
  <c r="C336" i="7" l="1"/>
  <c r="B341" i="7"/>
  <c r="C337" i="7" l="1"/>
  <c r="B342" i="7"/>
  <c r="C338" i="7" l="1"/>
  <c r="B343" i="7"/>
  <c r="C339" i="7" l="1"/>
  <c r="B344" i="7"/>
  <c r="C340" i="7" l="1"/>
  <c r="B345" i="7"/>
  <c r="C341" i="7" l="1"/>
  <c r="B346" i="7"/>
  <c r="C342" i="7" l="1"/>
  <c r="B347" i="7"/>
  <c r="C343" i="7" l="1"/>
  <c r="B348" i="7"/>
  <c r="C344" i="7" l="1"/>
  <c r="B349" i="7"/>
  <c r="C345" i="7" l="1"/>
  <c r="B350" i="7"/>
  <c r="C346" i="7" l="1"/>
  <c r="B351" i="7"/>
  <c r="C347" i="7" l="1"/>
  <c r="B352" i="7"/>
  <c r="C348" i="7" l="1"/>
  <c r="B353" i="7"/>
  <c r="C349" i="7" l="1"/>
  <c r="B354" i="7"/>
  <c r="C350" i="7" l="1"/>
  <c r="B355" i="7"/>
  <c r="C351" i="7" l="1"/>
  <c r="B356" i="7"/>
  <c r="C352" i="7" l="1"/>
  <c r="B357" i="7"/>
  <c r="C353" i="7" l="1"/>
  <c r="B358" i="7"/>
  <c r="C354" i="7" l="1"/>
  <c r="B359" i="7"/>
  <c r="C355" i="7" l="1"/>
  <c r="B360" i="7"/>
  <c r="C356" i="7" l="1"/>
  <c r="B361" i="7"/>
  <c r="C357" i="7" l="1"/>
  <c r="B362" i="7"/>
  <c r="C358" i="7" l="1"/>
  <c r="B363" i="7"/>
  <c r="C359" i="7" l="1"/>
  <c r="B364" i="7"/>
  <c r="C360" i="7" l="1"/>
  <c r="B365" i="7"/>
  <c r="C361" i="7" l="1"/>
  <c r="B366" i="7"/>
  <c r="C362" i="7" l="1"/>
  <c r="B367" i="7"/>
  <c r="C363" i="7" l="1"/>
  <c r="B368" i="7"/>
  <c r="C364" i="7" l="1"/>
  <c r="B369" i="7"/>
  <c r="C365" i="7" l="1"/>
  <c r="B370" i="7"/>
  <c r="C366" i="7" l="1"/>
  <c r="B371" i="7"/>
  <c r="C367" i="7" l="1"/>
  <c r="B372" i="7"/>
  <c r="C368" i="7" l="1"/>
  <c r="B373" i="7"/>
  <c r="C369" i="7" l="1"/>
  <c r="B374" i="7"/>
  <c r="C370" i="7" l="1"/>
  <c r="B375" i="7"/>
  <c r="C371" i="7" l="1"/>
  <c r="B376" i="7"/>
  <c r="C372" i="7" l="1"/>
  <c r="B377" i="7"/>
  <c r="C373" i="7" l="1"/>
  <c r="B378" i="7"/>
  <c r="C374" i="7" l="1"/>
  <c r="B379" i="7"/>
  <c r="C375" i="7" l="1"/>
  <c r="B380" i="7"/>
  <c r="C376" i="7" l="1"/>
  <c r="B381" i="7"/>
  <c r="C377" i="7" l="1"/>
  <c r="B382" i="7"/>
  <c r="C378" i="7" l="1"/>
  <c r="B383" i="7"/>
  <c r="C379" i="7" l="1"/>
  <c r="B384" i="7"/>
  <c r="C380" i="7" l="1"/>
  <c r="B385" i="7"/>
  <c r="C381" i="7" l="1"/>
  <c r="B386" i="7"/>
  <c r="C382" i="7" l="1"/>
  <c r="B387" i="7"/>
  <c r="C383" i="7" l="1"/>
  <c r="B388" i="7"/>
  <c r="C384" i="7" l="1"/>
  <c r="B389" i="7"/>
  <c r="C385" i="7" l="1"/>
  <c r="B390" i="7"/>
  <c r="C386" i="7" l="1"/>
  <c r="B391" i="7"/>
  <c r="C387" i="7" l="1"/>
  <c r="B392" i="7"/>
  <c r="C388" i="7" l="1"/>
  <c r="B393" i="7"/>
  <c r="C389" i="7" l="1"/>
  <c r="B394" i="7"/>
  <c r="C390" i="7" l="1"/>
  <c r="B395" i="7"/>
  <c r="C391" i="7" l="1"/>
  <c r="B396" i="7"/>
  <c r="C392" i="7" l="1"/>
  <c r="B397" i="7"/>
  <c r="C393" i="7" l="1"/>
  <c r="B398" i="7"/>
  <c r="C394" i="7" l="1"/>
  <c r="B399" i="7"/>
  <c r="C395" i="7" l="1"/>
  <c r="B400" i="7"/>
  <c r="C396" i="7" l="1"/>
  <c r="B401" i="7"/>
  <c r="C397" i="7" l="1"/>
  <c r="B402" i="7"/>
  <c r="C398" i="7" l="1"/>
  <c r="B403" i="7"/>
  <c r="C399" i="7" l="1"/>
  <c r="B404" i="7"/>
  <c r="C400" i="7" l="1"/>
  <c r="C401" i="7" l="1"/>
  <c r="C402" i="7" l="1"/>
  <c r="C403" i="7" l="1"/>
  <c r="C404" i="7" l="1"/>
  <c r="U55" i="6" l="1"/>
  <c r="U58" i="6"/>
  <c r="Q55" i="6" l="1"/>
  <c r="AG58" i="6" l="1"/>
  <c r="AG64" i="6"/>
  <c r="X61" i="6" l="1"/>
  <c r="AC61" i="6" s="1"/>
  <c r="X58" i="6"/>
  <c r="AC58" i="6" s="1"/>
  <c r="X73" i="6"/>
  <c r="AC73" i="6" s="1"/>
  <c r="AG67" i="6"/>
  <c r="AM67" i="6" s="1"/>
  <c r="X64" i="6"/>
  <c r="AC64" i="6" s="1"/>
  <c r="X70" i="6"/>
  <c r="AC70" i="6" s="1"/>
  <c r="X67" i="6"/>
  <c r="AD67" i="6" s="1"/>
  <c r="AG61" i="6"/>
  <c r="AM61" i="6" s="1"/>
  <c r="AG70" i="6"/>
  <c r="AL70" i="6" s="1"/>
  <c r="AG73" i="6"/>
  <c r="AL73" i="6" s="1"/>
  <c r="AM58" i="6"/>
  <c r="AL58" i="6"/>
  <c r="AL64" i="6"/>
  <c r="AM64" i="6"/>
  <c r="AD61" i="6" l="1"/>
  <c r="AD58" i="6"/>
  <c r="AD73" i="6"/>
  <c r="AL67" i="6"/>
  <c r="AD64" i="6"/>
  <c r="AC67" i="6"/>
  <c r="AD70" i="6"/>
  <c r="AL61" i="6"/>
  <c r="AM73" i="6"/>
  <c r="AM70" i="6"/>
</calcChain>
</file>

<file path=xl/sharedStrings.xml><?xml version="1.0" encoding="utf-8"?>
<sst xmlns="http://schemas.openxmlformats.org/spreadsheetml/2006/main" count="388" uniqueCount="216">
  <si>
    <t>ms</t>
  </si>
  <si>
    <t>Ang</t>
  </si>
  <si>
    <t>t</t>
  </si>
  <si>
    <t>sin vA</t>
  </si>
  <si>
    <t>R *SIN(RADIANS(Ang))*COS(RADIANS(90-Ang))</t>
  </si>
  <si>
    <t>fasa to ground</t>
  </si>
  <si>
    <t>fasa to fasa</t>
  </si>
  <si>
    <t>mag</t>
  </si>
  <si>
    <t>Riel</t>
  </si>
  <si>
    <t>imag</t>
  </si>
  <si>
    <t>Set R</t>
  </si>
  <si>
    <t>Z1</t>
  </si>
  <si>
    <t>Z2</t>
  </si>
  <si>
    <t>Z3</t>
  </si>
  <si>
    <t>Reach</t>
  </si>
  <si>
    <t>Ats Knn</t>
  </si>
  <si>
    <t>Atas Kiri Z1</t>
  </si>
  <si>
    <t>Kanan Bawah Z1</t>
  </si>
  <si>
    <t>Kanan Samping Z1</t>
  </si>
  <si>
    <t>Kiri bawah Z1</t>
  </si>
  <si>
    <t>Kiri Samping Z1</t>
  </si>
  <si>
    <t>REACH</t>
  </si>
  <si>
    <t>R</t>
  </si>
  <si>
    <t>Z</t>
  </si>
  <si>
    <t>x</t>
  </si>
  <si>
    <t>y</t>
  </si>
  <si>
    <t>P-G</t>
  </si>
  <si>
    <t>batas atas</t>
  </si>
  <si>
    <t>batas bawah</t>
  </si>
  <si>
    <t>P-P</t>
  </si>
  <si>
    <t>bats kanan</t>
  </si>
  <si>
    <t>batas kiri</t>
  </si>
  <si>
    <t>Link</t>
  </si>
  <si>
    <t>Imp R</t>
  </si>
  <si>
    <t>riel</t>
  </si>
  <si>
    <t>img</t>
  </si>
  <si>
    <t>X</t>
  </si>
  <si>
    <t>Imp S</t>
  </si>
  <si>
    <t>Imp T</t>
  </si>
  <si>
    <t>Imp AB</t>
  </si>
  <si>
    <t>Imp BC</t>
  </si>
  <si>
    <t>Imp  CA</t>
  </si>
  <si>
    <t>ID</t>
  </si>
  <si>
    <t>BAY</t>
  </si>
  <si>
    <t>XPZ1</t>
  </si>
  <si>
    <t>XPZ2</t>
  </si>
  <si>
    <t>XPZ3</t>
  </si>
  <si>
    <t>RPZ1</t>
  </si>
  <si>
    <t>RPZ2</t>
  </si>
  <si>
    <t>RPZ3</t>
  </si>
  <si>
    <t>XGZ1</t>
  </si>
  <si>
    <t>XGZ2</t>
  </si>
  <si>
    <t>XGZ3</t>
  </si>
  <si>
    <t>RGZ123</t>
  </si>
  <si>
    <t>ANGLE</t>
  </si>
  <si>
    <t>Z0/Z1 MAG</t>
  </si>
  <si>
    <t>Z0/Z1 ANG</t>
  </si>
  <si>
    <t>SETTING</t>
  </si>
  <si>
    <t>DROPDOWN LIST DATABASE</t>
  </si>
  <si>
    <t>SEKUNDER</t>
  </si>
  <si>
    <t>PRIMER</t>
  </si>
  <si>
    <t>``</t>
  </si>
  <si>
    <t>CHECK LINE</t>
  </si>
  <si>
    <t>Ref bar</t>
  </si>
  <si>
    <t>FCT</t>
  </si>
  <si>
    <t>oranye</t>
  </si>
  <si>
    <t>biru</t>
  </si>
  <si>
    <t>skala ph-g</t>
  </si>
  <si>
    <t>scale sin</t>
  </si>
  <si>
    <t>scale imp</t>
  </si>
  <si>
    <t>start</t>
  </si>
  <si>
    <t>end</t>
  </si>
  <si>
    <t>FAULT LOCUS IMPEDANCE</t>
  </si>
  <si>
    <t>V 2.1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</si>
  <si>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</si>
  <si>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</si>
  <si>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</si>
  <si>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</si>
  <si>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</si>
  <si>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</si>
  <si>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</si>
  <si>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</si>
  <si>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</si>
  <si>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</si>
  <si>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</si>
  <si>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</si>
  <si>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</si>
  <si>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</si>
  <si>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</si>
  <si>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</si>
  <si>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LINE 17</t>
  </si>
  <si>
    <t>LINE 18</t>
  </si>
  <si>
    <t>LINE 19</t>
  </si>
  <si>
    <t>LINE 20</t>
  </si>
  <si>
    <t>LINE 21</t>
  </si>
  <si>
    <t>LINE 22</t>
  </si>
  <si>
    <t>LINE 23</t>
  </si>
  <si>
    <t>LINE 24</t>
  </si>
  <si>
    <t>LINE 25</t>
  </si>
  <si>
    <t>LINE 26</t>
  </si>
  <si>
    <t>LINE 27</t>
  </si>
  <si>
    <t>LINE 28</t>
  </si>
  <si>
    <t>LINE 29</t>
  </si>
  <si>
    <t>LINE 30</t>
  </si>
  <si>
    <t>LINE 31</t>
  </si>
  <si>
    <t>LINE 32</t>
  </si>
  <si>
    <t>LINE 33</t>
  </si>
  <si>
    <t>LINE 34</t>
  </si>
  <si>
    <t>LINE 35</t>
  </si>
  <si>
    <t>LINE 36</t>
  </si>
  <si>
    <t>LINE 37</t>
  </si>
  <si>
    <t>LINE 38</t>
  </si>
  <si>
    <t>LINE 39</t>
  </si>
  <si>
    <t>LINE 40</t>
  </si>
  <si>
    <t>LINE 41</t>
  </si>
  <si>
    <t>LINE 42</t>
  </si>
  <si>
    <t>LINE 43</t>
  </si>
  <si>
    <t>LINE 44</t>
  </si>
  <si>
    <t>LINE 45</t>
  </si>
  <si>
    <t>LINE 46</t>
  </si>
  <si>
    <t>LINE 47</t>
  </si>
  <si>
    <t>LINE 48</t>
  </si>
  <si>
    <t>LINE 49</t>
  </si>
  <si>
    <t>LINE 50</t>
  </si>
  <si>
    <t>LINE 51</t>
  </si>
  <si>
    <t>LINE 52</t>
  </si>
  <si>
    <t>LINE 53</t>
  </si>
  <si>
    <t>LINE 54</t>
  </si>
  <si>
    <t>LINE 55</t>
  </si>
  <si>
    <t>LINE 56</t>
  </si>
  <si>
    <t>LINE 57</t>
  </si>
  <si>
    <t>LINE 58</t>
  </si>
  <si>
    <t>LINE 59</t>
  </si>
  <si>
    <t>LINE 60</t>
  </si>
  <si>
    <t>LINE 61</t>
  </si>
  <si>
    <t>LINE 62</t>
  </si>
  <si>
    <t>LINE 63</t>
  </si>
  <si>
    <t>LINE 64</t>
  </si>
  <si>
    <t>LINE 65</t>
  </si>
  <si>
    <t>LINE 66</t>
  </si>
  <si>
    <t>LINE 67</t>
  </si>
  <si>
    <t>LINE 68</t>
  </si>
  <si>
    <t>LINE 69</t>
  </si>
  <si>
    <t>LINE 70</t>
  </si>
  <si>
    <t>LINE 71</t>
  </si>
  <si>
    <t>LINE 72</t>
  </si>
  <si>
    <t>LINE 73</t>
  </si>
  <si>
    <t>LINE 74</t>
  </si>
  <si>
    <t>LINE 75</t>
  </si>
  <si>
    <t>LINE 76</t>
  </si>
  <si>
    <t>LINE 77</t>
  </si>
  <si>
    <t>LINE 78</t>
  </si>
  <si>
    <t>LINE 79</t>
  </si>
  <si>
    <t>LINE 80</t>
  </si>
  <si>
    <t>LINE 81</t>
  </si>
  <si>
    <t>LINE 82</t>
  </si>
  <si>
    <t>LINE 83</t>
  </si>
  <si>
    <t>LINE 84</t>
  </si>
  <si>
    <t>LINE 85</t>
  </si>
  <si>
    <t>LINE 86</t>
  </si>
  <si>
    <t>LINE 87</t>
  </si>
  <si>
    <t>LINE 88</t>
  </si>
  <si>
    <t>LINE 89</t>
  </si>
  <si>
    <t>LINE 90</t>
  </si>
  <si>
    <t>LINE 91</t>
  </si>
  <si>
    <t>LINE 92</t>
  </si>
  <si>
    <t>LINE 93</t>
  </si>
  <si>
    <t>LINE 94</t>
  </si>
  <si>
    <t>LINE 95</t>
  </si>
  <si>
    <t>LINE 96</t>
  </si>
  <si>
    <t>LINE 97</t>
  </si>
  <si>
    <t>LINE 98</t>
  </si>
  <si>
    <t>LINE 99</t>
  </si>
  <si>
    <t>LINE 100</t>
  </si>
  <si>
    <t>LINE 101</t>
  </si>
  <si>
    <t>LINE 102</t>
  </si>
  <si>
    <t>LINE 103</t>
  </si>
  <si>
    <t>LINE 104</t>
  </si>
  <si>
    <t>LINE 105</t>
  </si>
  <si>
    <t>LINE 106</t>
  </si>
  <si>
    <t>LINE 107</t>
  </si>
  <si>
    <t>LINE 108</t>
  </si>
  <si>
    <t>LINE 109</t>
  </si>
  <si>
    <t>LINE 110</t>
  </si>
  <si>
    <t>LINE 111</t>
  </si>
  <si>
    <t>LINE 112</t>
  </si>
  <si>
    <t>LINE 113</t>
  </si>
  <si>
    <t>LINE 114</t>
  </si>
  <si>
    <t>LINE 115</t>
  </si>
  <si>
    <t>LINE 116</t>
  </si>
  <si>
    <t>LINE 117</t>
  </si>
  <si>
    <t>LINE 118</t>
  </si>
  <si>
    <t>LINE 119</t>
  </si>
  <si>
    <t>LINE 120</t>
  </si>
  <si>
    <t>LINE 121</t>
  </si>
  <si>
    <t>LINE 122</t>
  </si>
  <si>
    <t>LINE 123</t>
  </si>
  <si>
    <t>LINE 124</t>
  </si>
  <si>
    <t>LINE 125</t>
  </si>
  <si>
    <t>LINE 126</t>
  </si>
  <si>
    <t>LINE 127</t>
  </si>
  <si>
    <t>LINE 128</t>
  </si>
  <si>
    <t>LINE 129</t>
  </si>
  <si>
    <t>LINE 130</t>
  </si>
  <si>
    <t>LINE 131</t>
  </si>
  <si>
    <t>LINE 132</t>
  </si>
  <si>
    <t>LINE 133</t>
  </si>
  <si>
    <t>LINE 134</t>
  </si>
  <si>
    <t>LINE 135</t>
  </si>
  <si>
    <t>LINE 136</t>
  </si>
  <si>
    <t>LINE 137</t>
  </si>
  <si>
    <t>LINE 138</t>
  </si>
  <si>
    <t>LINE 139</t>
  </si>
  <si>
    <t>LINE 140</t>
  </si>
  <si>
    <t>LINE 141</t>
  </si>
  <si>
    <t>LINE 142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</si>
</sst>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_ "/>
    <numFmt numFmtId="165" formatCode="0.000"/>
    <numFmt numFmtId="166" formatCode="0.0000"/>
    <numFmt numFmtId="167" formatCode="#,##0.00000"/>
  </numFmts>
  <fonts count="1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7" fillId="0" borderId="0"/>
  </cellStyleXfs>
  <cellXfs count="89">
    <xf numFmtId="0" fontId="0" fillId="0" borderId="0" xfId="0"/>
    <xf numFmtId="16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0" fillId="0" borderId="2" xfId="0" applyBorder="1"/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6" fillId="0" borderId="4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5" fontId="6" fillId="0" borderId="4" xfId="0" applyNumberFormat="1" applyFont="1" applyBorder="1" applyAlignment="1">
      <alignment horizontal="center" vertical="center"/>
    </xf>
    <xf numFmtId="0" fontId="0" fillId="3" borderId="2" xfId="0" applyFill="1" applyBorder="1"/>
    <xf numFmtId="0" fontId="0" fillId="3" borderId="2" xfId="0" applyFill="1" applyBorder="1" applyAlignment="1">
      <alignment horizontal="center" vertical="center"/>
    </xf>
    <xf numFmtId="165" fontId="6" fillId="0" borderId="3" xfId="0" applyNumberFormat="1" applyFont="1" applyBorder="1" applyAlignment="1">
      <alignment horizontal="center" vertical="center"/>
    </xf>
    <xf numFmtId="166" fontId="6" fillId="0" borderId="1" xfId="0" applyNumberFormat="1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2" borderId="2" xfId="0" applyFill="1" applyBorder="1" applyAlignment="1">
      <alignment horizontal="right"/>
    </xf>
    <xf numFmtId="0" fontId="0" fillId="2" borderId="2" xfId="0" applyFill="1" applyBorder="1"/>
    <xf numFmtId="0" fontId="5" fillId="0" borderId="0" xfId="0" applyFont="1"/>
    <xf numFmtId="0" fontId="0" fillId="0" borderId="0" xfId="0" applyAlignment="1">
      <alignment vertical="center"/>
    </xf>
    <xf numFmtId="0" fontId="0" fillId="4" borderId="0" xfId="0" applyFill="1"/>
    <xf numFmtId="0" fontId="0" fillId="6" borderId="0" xfId="0" applyFill="1"/>
    <xf numFmtId="0" fontId="4" fillId="0" borderId="0" xfId="0" applyFont="1"/>
    <xf numFmtId="0" fontId="0" fillId="5" borderId="2" xfId="0" applyFill="1" applyBorder="1"/>
    <xf numFmtId="0" fontId="10" fillId="7" borderId="6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9" fillId="4" borderId="8" xfId="0" applyFont="1" applyFill="1" applyBorder="1" applyAlignment="1">
      <alignment horizontal="right" vertical="center"/>
    </xf>
    <xf numFmtId="0" fontId="9" fillId="4" borderId="0" xfId="0" applyFont="1" applyFill="1" applyAlignment="1">
      <alignment horizontal="left" vertical="center"/>
    </xf>
    <xf numFmtId="0" fontId="9" fillId="4" borderId="0" xfId="0" applyFont="1" applyFill="1" applyAlignment="1">
      <alignment horizontal="right" vertical="center"/>
    </xf>
    <xf numFmtId="0" fontId="9" fillId="4" borderId="0" xfId="0" applyFont="1" applyFill="1" applyAlignment="1">
      <alignment vertical="center"/>
    </xf>
    <xf numFmtId="0" fontId="0" fillId="4" borderId="8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9" xfId="0" applyFill="1" applyBorder="1"/>
    <xf numFmtId="0" fontId="3" fillId="0" borderId="0" xfId="0" applyFont="1"/>
    <xf numFmtId="0" fontId="10" fillId="7" borderId="0" xfId="0" applyFont="1" applyFill="1" applyAlignment="1">
      <alignment horizontal="center" vertical="center"/>
    </xf>
    <xf numFmtId="0" fontId="0" fillId="7" borderId="0" xfId="0" applyFill="1"/>
    <xf numFmtId="0" fontId="0" fillId="7" borderId="11" xfId="0" applyFill="1" applyBorder="1"/>
    <xf numFmtId="0" fontId="0" fillId="8" borderId="0" xfId="0" applyFill="1"/>
    <xf numFmtId="0" fontId="9" fillId="9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0" fillId="10" borderId="0" xfId="0" applyFill="1"/>
    <xf numFmtId="165" fontId="0" fillId="0" borderId="0" xfId="0" applyNumberFormat="1"/>
    <xf numFmtId="0" fontId="0" fillId="4" borderId="14" xfId="0" applyFill="1" applyBorder="1"/>
    <xf numFmtId="0" fontId="0" fillId="4" borderId="15" xfId="0" applyFill="1" applyBorder="1"/>
    <xf numFmtId="0" fontId="11" fillId="4" borderId="13" xfId="0" applyFont="1" applyFill="1" applyBorder="1" applyAlignment="1">
      <alignment horizontal="center" vertical="center"/>
    </xf>
    <xf numFmtId="0" fontId="11" fillId="4" borderId="16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right" vertical="top"/>
    </xf>
    <xf numFmtId="0" fontId="0" fillId="11" borderId="2" xfId="0" applyFill="1" applyBorder="1"/>
    <xf numFmtId="0" fontId="1" fillId="11" borderId="2" xfId="0" applyFont="1" applyFill="1" applyBorder="1"/>
    <xf numFmtId="166" fontId="0" fillId="0" borderId="0" xfId="0" applyNumberFormat="1" applyAlignment="1">
      <alignment horizontal="center" vertical="center"/>
    </xf>
    <xf numFmtId="0" fontId="0" fillId="0" borderId="21" xfId="0" applyBorder="1"/>
    <xf numFmtId="0" fontId="0" fillId="0" borderId="0" xfId="0" applyAlignment="1">
      <alignment horizontal="left" vertical="center"/>
    </xf>
    <xf numFmtId="0" fontId="9" fillId="4" borderId="0" xfId="0" applyFont="1" applyFill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8" fillId="7" borderId="13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9" fillId="4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0" fillId="12" borderId="2" xfId="0" applyFill="1" applyBorder="1" applyAlignment="1">
      <alignment horizontal="center"/>
    </xf>
  </cellXfs>
  <cellStyles count="2">
    <cellStyle name="Normal" xfId="0" builtinId="0"/>
    <cellStyle name="Normal 6" xfId="1" xr:uid="{00000000-0005-0000-0000-000001000000}"/>
  </cellStyles>
  <dxfs count="0"/>
  <tableStyles count="0" defaultTableStyle="TableStyleMedium2" defaultPivotStyle="PivotStyleLight16"/>
  <colors>
    <mruColors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11270319722373E-2"/>
          <c:y val="1.2926872265594361E-2"/>
          <c:w val="0.94058471556933498"/>
          <c:h val="0.97772177047716657"/>
        </c:manualLayout>
      </c:layout>
      <c:scatterChart>
        <c:scatterStyle val="smoothMarker"/>
        <c:varyColors val="0"/>
        <c:ser>
          <c:idx val="44"/>
          <c:order val="0"/>
          <c:tx>
            <c:v>Reach Z1</c:v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4-4BD6-AC49-4D03D67D73AE}"/>
            </c:ext>
          </c:extLst>
        </c:ser>
        <c:ser>
          <c:idx val="45"/>
          <c:order val="1"/>
          <c:tx>
            <c:v>Atas Kanan Z1</c:v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4-4BD6-AC49-4D03D67D73AE}"/>
            </c:ext>
          </c:extLst>
        </c:ser>
        <c:ser>
          <c:idx val="46"/>
          <c:order val="2"/>
          <c:tx>
            <c:v>Atas Kiri Z1</c:v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44-4BD6-AC49-4D03D67D73AE}"/>
            </c:ext>
          </c:extLst>
        </c:ser>
        <c:ser>
          <c:idx val="47"/>
          <c:order val="3"/>
          <c:tx>
            <c:v>Kanan Bawah Z1</c:v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4-4BD6-AC49-4D03D67D73AE}"/>
            </c:ext>
          </c:extLst>
        </c:ser>
        <c:ser>
          <c:idx val="48"/>
          <c:order val="4"/>
          <c:tx>
            <c:v>kanan samping Z1</c:v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544-4BD6-AC49-4D03D67D73AE}"/>
            </c:ext>
          </c:extLst>
        </c:ser>
        <c:ser>
          <c:idx val="49"/>
          <c:order val="5"/>
          <c:tx>
            <c:v>Kiri Bawah Z1</c:v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544-4BD6-AC49-4D03D67D73AE}"/>
            </c:ext>
          </c:extLst>
        </c:ser>
        <c:ser>
          <c:idx val="50"/>
          <c:order val="6"/>
          <c:tx>
            <c:v>samping kiri Z1</c:v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544-4BD6-AC49-4D03D67D73AE}"/>
            </c:ext>
          </c:extLst>
        </c:ser>
        <c:ser>
          <c:idx val="51"/>
          <c:order val="7"/>
          <c:tx>
            <c:v>Reach Z2</c:v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544-4BD6-AC49-4D03D67D73AE}"/>
            </c:ext>
          </c:extLst>
        </c:ser>
        <c:ser>
          <c:idx val="52"/>
          <c:order val="8"/>
          <c:tx>
            <c:v>kanan atas Z2</c:v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544-4BD6-AC49-4D03D67D73AE}"/>
            </c:ext>
          </c:extLst>
        </c:ser>
        <c:ser>
          <c:idx val="53"/>
          <c:order val="9"/>
          <c:tx>
            <c:v>kiri Atas Z2</c:v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544-4BD6-AC49-4D03D67D73AE}"/>
            </c:ext>
          </c:extLst>
        </c:ser>
        <c:ser>
          <c:idx val="54"/>
          <c:order val="10"/>
          <c:tx>
            <c:v>kanan bawah z2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544-4BD6-AC49-4D03D67D73AE}"/>
            </c:ext>
          </c:extLst>
        </c:ser>
        <c:ser>
          <c:idx val="55"/>
          <c:order val="11"/>
          <c:tx>
            <c:v>kanan samping Z2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544-4BD6-AC49-4D03D67D73AE}"/>
            </c:ext>
          </c:extLst>
        </c:ser>
        <c:ser>
          <c:idx val="56"/>
          <c:order val="12"/>
          <c:tx>
            <c:v>kiri bawah Z2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544-4BD6-AC49-4D03D67D73AE}"/>
            </c:ext>
          </c:extLst>
        </c:ser>
        <c:ser>
          <c:idx val="57"/>
          <c:order val="13"/>
          <c:tx>
            <c:v>kiri samping z2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544-4BD6-AC49-4D03D67D73AE}"/>
            </c:ext>
          </c:extLst>
        </c:ser>
        <c:ser>
          <c:idx val="58"/>
          <c:order val="14"/>
          <c:tx>
            <c:v>Reach Z3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544-4BD6-AC49-4D03D67D73AE}"/>
            </c:ext>
          </c:extLst>
        </c:ser>
        <c:ser>
          <c:idx val="59"/>
          <c:order val="15"/>
          <c:tx>
            <c:v>kanan atas Z3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8544-4BD6-AC49-4D03D67D73AE}"/>
            </c:ext>
          </c:extLst>
        </c:ser>
        <c:ser>
          <c:idx val="60"/>
          <c:order val="16"/>
          <c:tx>
            <c:v>kiri atas Z3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544-4BD6-AC49-4D03D67D73AE}"/>
            </c:ext>
          </c:extLst>
        </c:ser>
        <c:ser>
          <c:idx val="61"/>
          <c:order val="17"/>
          <c:tx>
            <c:v>kanan bawah Z1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8544-4BD6-AC49-4D03D67D73AE}"/>
            </c:ext>
          </c:extLst>
        </c:ser>
        <c:ser>
          <c:idx val="62"/>
          <c:order val="18"/>
          <c:tx>
            <c:v>Kanan samping Z3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8544-4BD6-AC49-4D03D67D73AE}"/>
            </c:ext>
          </c:extLst>
        </c:ser>
        <c:ser>
          <c:idx val="63"/>
          <c:order val="19"/>
          <c:tx>
            <c:v>kiri bawah Z3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8544-4BD6-AC49-4D03D67D73AE}"/>
            </c:ext>
          </c:extLst>
        </c:ser>
        <c:ser>
          <c:idx val="64"/>
          <c:order val="20"/>
          <c:tx>
            <c:v>kiri samping z3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8544-4BD6-AC49-4D03D67D73AE}"/>
            </c:ext>
          </c:extLst>
        </c:ser>
        <c:ser>
          <c:idx val="66"/>
          <c:order val="21"/>
          <c:tx>
            <c:v>Reach Z1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8544-4BD6-AC49-4D03D67D73AE}"/>
            </c:ext>
          </c:extLst>
        </c:ser>
        <c:ser>
          <c:idx val="67"/>
          <c:order val="22"/>
          <c:tx>
            <c:v>Atas Kanan Z1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8544-4BD6-AC49-4D03D67D73AE}"/>
            </c:ext>
          </c:extLst>
        </c:ser>
        <c:ser>
          <c:idx val="68"/>
          <c:order val="23"/>
          <c:tx>
            <c:v>Atas Kiri Z1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544-4BD6-AC49-4D03D67D73AE}"/>
            </c:ext>
          </c:extLst>
        </c:ser>
        <c:ser>
          <c:idx val="69"/>
          <c:order val="24"/>
          <c:tx>
            <c:v>Kanan Bawah Z1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8544-4BD6-AC49-4D03D67D73AE}"/>
            </c:ext>
          </c:extLst>
        </c:ser>
        <c:ser>
          <c:idx val="70"/>
          <c:order val="25"/>
          <c:tx>
            <c:v>kanan samping Z1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544-4BD6-AC49-4D03D67D73AE}"/>
            </c:ext>
          </c:extLst>
        </c:ser>
        <c:ser>
          <c:idx val="71"/>
          <c:order val="26"/>
          <c:tx>
            <c:v>Kiri Bawah Z1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8544-4BD6-AC49-4D03D67D73AE}"/>
            </c:ext>
          </c:extLst>
        </c:ser>
        <c:ser>
          <c:idx val="72"/>
          <c:order val="27"/>
          <c:tx>
            <c:v>samping kiri Z1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8544-4BD6-AC49-4D03D67D73AE}"/>
            </c:ext>
          </c:extLst>
        </c:ser>
        <c:ser>
          <c:idx val="73"/>
          <c:order val="28"/>
          <c:tx>
            <c:v>Reach Z2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8544-4BD6-AC49-4D03D67D73AE}"/>
            </c:ext>
          </c:extLst>
        </c:ser>
        <c:ser>
          <c:idx val="74"/>
          <c:order val="29"/>
          <c:tx>
            <c:v>kanan atas Z2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8544-4BD6-AC49-4D03D67D73AE}"/>
            </c:ext>
          </c:extLst>
        </c:ser>
        <c:ser>
          <c:idx val="75"/>
          <c:order val="30"/>
          <c:tx>
            <c:v>kiri Atas Z2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8544-4BD6-AC49-4D03D67D73AE}"/>
            </c:ext>
          </c:extLst>
        </c:ser>
        <c:ser>
          <c:idx val="76"/>
          <c:order val="31"/>
          <c:tx>
            <c:v>kanan bawah z2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8544-4BD6-AC49-4D03D67D73AE}"/>
            </c:ext>
          </c:extLst>
        </c:ser>
        <c:ser>
          <c:idx val="77"/>
          <c:order val="32"/>
          <c:tx>
            <c:v>kanan samping Z2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8544-4BD6-AC49-4D03D67D73AE}"/>
            </c:ext>
          </c:extLst>
        </c:ser>
        <c:ser>
          <c:idx val="78"/>
          <c:order val="33"/>
          <c:tx>
            <c:v>kiri bawah Z2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8544-4BD6-AC49-4D03D67D73AE}"/>
            </c:ext>
          </c:extLst>
        </c:ser>
        <c:ser>
          <c:idx val="79"/>
          <c:order val="34"/>
          <c:tx>
            <c:v>kiri samping z2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8544-4BD6-AC49-4D03D67D73AE}"/>
            </c:ext>
          </c:extLst>
        </c:ser>
        <c:ser>
          <c:idx val="80"/>
          <c:order val="35"/>
          <c:tx>
            <c:v>Reach Z3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8544-4BD6-AC49-4D03D67D73AE}"/>
            </c:ext>
          </c:extLst>
        </c:ser>
        <c:ser>
          <c:idx val="81"/>
          <c:order val="36"/>
          <c:tx>
            <c:v>kanan atas Z3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8544-4BD6-AC49-4D03D67D73AE}"/>
            </c:ext>
          </c:extLst>
        </c:ser>
        <c:ser>
          <c:idx val="82"/>
          <c:order val="37"/>
          <c:tx>
            <c:v>kiri atas Z3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8544-4BD6-AC49-4D03D67D73AE}"/>
            </c:ext>
          </c:extLst>
        </c:ser>
        <c:ser>
          <c:idx val="83"/>
          <c:order val="38"/>
          <c:tx>
            <c:v>kanan bawah Z1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544-4BD6-AC49-4D03D67D73AE}"/>
            </c:ext>
          </c:extLst>
        </c:ser>
        <c:ser>
          <c:idx val="84"/>
          <c:order val="39"/>
          <c:tx>
            <c:v>Kanan samping Z3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8544-4BD6-AC49-4D03D67D73AE}"/>
            </c:ext>
          </c:extLst>
        </c:ser>
        <c:ser>
          <c:idx val="85"/>
          <c:order val="40"/>
          <c:tx>
            <c:v>kiri bawah Z3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8544-4BD6-AC49-4D03D67D73AE}"/>
            </c:ext>
          </c:extLst>
        </c:ser>
        <c:ser>
          <c:idx val="86"/>
          <c:order val="41"/>
          <c:tx>
            <c:v>kiri samping z3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8544-4BD6-AC49-4D03D67D73AE}"/>
            </c:ext>
          </c:extLst>
        </c:ser>
        <c:ser>
          <c:idx val="0"/>
          <c:order val="42"/>
          <c:tx>
            <c:v>Reach Z1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8544-4BD6-AC49-4D03D67D73AE}"/>
            </c:ext>
          </c:extLst>
        </c:ser>
        <c:ser>
          <c:idx val="23"/>
          <c:order val="43"/>
          <c:tx>
            <c:v>Atas Kanan Z1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8544-4BD6-AC49-4D03D67D73AE}"/>
            </c:ext>
          </c:extLst>
        </c:ser>
        <c:ser>
          <c:idx val="24"/>
          <c:order val="44"/>
          <c:tx>
            <c:v>Atas Kiri Z1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8544-4BD6-AC49-4D03D67D73AE}"/>
            </c:ext>
          </c:extLst>
        </c:ser>
        <c:ser>
          <c:idx val="25"/>
          <c:order val="45"/>
          <c:tx>
            <c:v>Kanan Bawah Z1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8544-4BD6-AC49-4D03D67D73AE}"/>
            </c:ext>
          </c:extLst>
        </c:ser>
        <c:ser>
          <c:idx val="26"/>
          <c:order val="46"/>
          <c:tx>
            <c:v>kanan samping Z1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8544-4BD6-AC49-4D03D67D73AE}"/>
            </c:ext>
          </c:extLst>
        </c:ser>
        <c:ser>
          <c:idx val="27"/>
          <c:order val="47"/>
          <c:tx>
            <c:v>Kiri Bawah Z1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8544-4BD6-AC49-4D03D67D73AE}"/>
            </c:ext>
          </c:extLst>
        </c:ser>
        <c:ser>
          <c:idx val="28"/>
          <c:order val="48"/>
          <c:tx>
            <c:v>samping kiri Z1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8544-4BD6-AC49-4D03D67D73AE}"/>
            </c:ext>
          </c:extLst>
        </c:ser>
        <c:ser>
          <c:idx val="29"/>
          <c:order val="49"/>
          <c:tx>
            <c:v>Reach Z2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8544-4BD6-AC49-4D03D67D73AE}"/>
            </c:ext>
          </c:extLst>
        </c:ser>
        <c:ser>
          <c:idx val="30"/>
          <c:order val="50"/>
          <c:tx>
            <c:v>kanan atas Z2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8544-4BD6-AC49-4D03D67D73AE}"/>
            </c:ext>
          </c:extLst>
        </c:ser>
        <c:ser>
          <c:idx val="31"/>
          <c:order val="51"/>
          <c:tx>
            <c:v>kiri Atas Z2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8544-4BD6-AC49-4D03D67D73AE}"/>
            </c:ext>
          </c:extLst>
        </c:ser>
        <c:ser>
          <c:idx val="32"/>
          <c:order val="52"/>
          <c:tx>
            <c:v>kanan bawah z2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8544-4BD6-AC49-4D03D67D73AE}"/>
            </c:ext>
          </c:extLst>
        </c:ser>
        <c:ser>
          <c:idx val="33"/>
          <c:order val="53"/>
          <c:tx>
            <c:v>kanan samping Z2</c:v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8544-4BD6-AC49-4D03D67D73AE}"/>
            </c:ext>
          </c:extLst>
        </c:ser>
        <c:ser>
          <c:idx val="34"/>
          <c:order val="54"/>
          <c:tx>
            <c:v>kiri bawah Z2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8544-4BD6-AC49-4D03D67D73AE}"/>
            </c:ext>
          </c:extLst>
        </c:ser>
        <c:ser>
          <c:idx val="35"/>
          <c:order val="55"/>
          <c:tx>
            <c:v>kiri samping z2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544-4BD6-AC49-4D03D67D73AE}"/>
            </c:ext>
          </c:extLst>
        </c:ser>
        <c:ser>
          <c:idx val="36"/>
          <c:order val="56"/>
          <c:tx>
            <c:v>Reach Z3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544-4BD6-AC49-4D03D67D73AE}"/>
            </c:ext>
          </c:extLst>
        </c:ser>
        <c:ser>
          <c:idx val="37"/>
          <c:order val="57"/>
          <c:tx>
            <c:v>kanan atas Z3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544-4BD6-AC49-4D03D67D73AE}"/>
            </c:ext>
          </c:extLst>
        </c:ser>
        <c:ser>
          <c:idx val="38"/>
          <c:order val="58"/>
          <c:tx>
            <c:v>kiri atas Z3</c:v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544-4BD6-AC49-4D03D67D73AE}"/>
            </c:ext>
          </c:extLst>
        </c:ser>
        <c:ser>
          <c:idx val="39"/>
          <c:order val="59"/>
          <c:tx>
            <c:v>kanan bawah Z1</c:v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544-4BD6-AC49-4D03D67D73AE}"/>
            </c:ext>
          </c:extLst>
        </c:ser>
        <c:ser>
          <c:idx val="40"/>
          <c:order val="60"/>
          <c:tx>
            <c:v>Kanan samping Z3</c:v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544-4BD6-AC49-4D03D67D73AE}"/>
            </c:ext>
          </c:extLst>
        </c:ser>
        <c:ser>
          <c:idx val="41"/>
          <c:order val="61"/>
          <c:tx>
            <c:v>kiri bawah Z3</c:v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544-4BD6-AC49-4D03D67D73AE}"/>
            </c:ext>
          </c:extLst>
        </c:ser>
        <c:ser>
          <c:idx val="42"/>
          <c:order val="62"/>
          <c:tx>
            <c:v>kiri samping z3</c:v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8544-4BD6-AC49-4D03D67D73AE}"/>
            </c:ext>
          </c:extLst>
        </c:ser>
        <c:ser>
          <c:idx val="1"/>
          <c:order val="63"/>
          <c:tx>
            <c:v>Reach 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8544-4BD6-AC49-4D03D67D73AE}"/>
            </c:ext>
          </c:extLst>
        </c:ser>
        <c:ser>
          <c:idx val="2"/>
          <c:order val="64"/>
          <c:tx>
            <c:v>Atas Kanan Z1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472C4"/>
                    </a:solidFill>
                  </a14:hiddenFill>
                </a:ext>
              </a:extLst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solidFill>
                    <a:srgbClr val="FF0000"/>
                  </a:solidFill>
                </a:ln>
                <a:effectLst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0000"/>
                      </a:solidFill>
                    </a14:hiddenFill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0B9E-452B-9D03-F24E8F17997B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8544-4BD6-AC49-4D03D67D73AE}"/>
              </c:ext>
            </c:extLst>
          </c:dPt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8544-4BD6-AC49-4D03D67D73AE}"/>
            </c:ext>
          </c:extLst>
        </c:ser>
        <c:ser>
          <c:idx val="3"/>
          <c:order val="65"/>
          <c:tx>
            <c:v>Atas Kiri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8544-4BD6-AC49-4D03D67D73AE}"/>
            </c:ext>
          </c:extLst>
        </c:ser>
        <c:ser>
          <c:idx val="4"/>
          <c:order val="66"/>
          <c:tx>
            <c:v>Kanan Bawah Z1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8544-4BD6-AC49-4D03D67D73AE}"/>
            </c:ext>
          </c:extLst>
        </c:ser>
        <c:ser>
          <c:idx val="5"/>
          <c:order val="67"/>
          <c:tx>
            <c:v>kanan samping Z1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8544-4BD6-AC49-4D03D67D73AE}"/>
            </c:ext>
          </c:extLst>
        </c:ser>
        <c:ser>
          <c:idx val="6"/>
          <c:order val="68"/>
          <c:tx>
            <c:v>Kiri Bawah Z1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8544-4BD6-AC49-4D03D67D73AE}"/>
            </c:ext>
          </c:extLst>
        </c:ser>
        <c:ser>
          <c:idx val="7"/>
          <c:order val="69"/>
          <c:tx>
            <c:v>samping kiri Z1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8544-4BD6-AC49-4D03D67D73AE}"/>
            </c:ext>
          </c:extLst>
        </c:ser>
        <c:ser>
          <c:idx val="8"/>
          <c:order val="70"/>
          <c:tx>
            <c:v>Reach Z2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8544-4BD6-AC49-4D03D67D73AE}"/>
              </c:ext>
            </c:extLst>
          </c:dPt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8544-4BD6-AC49-4D03D67D73AE}"/>
            </c:ext>
          </c:extLst>
        </c:ser>
        <c:ser>
          <c:idx val="9"/>
          <c:order val="71"/>
          <c:tx>
            <c:v>kanan atas Z2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8544-4BD6-AC49-4D03D67D73AE}"/>
              </c:ext>
            </c:extLst>
          </c:dPt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8544-4BD6-AC49-4D03D67D73AE}"/>
            </c:ext>
          </c:extLst>
        </c:ser>
        <c:ser>
          <c:idx val="10"/>
          <c:order val="72"/>
          <c:tx>
            <c:v>kiri Atas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8544-4BD6-AC49-4D03D67D73AE}"/>
            </c:ext>
          </c:extLst>
        </c:ser>
        <c:ser>
          <c:idx val="11"/>
          <c:order val="73"/>
          <c:tx>
            <c:v>kanan bawah z2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8544-4BD6-AC49-4D03D67D73AE}"/>
            </c:ext>
          </c:extLst>
        </c:ser>
        <c:ser>
          <c:idx val="12"/>
          <c:order val="74"/>
          <c:tx>
            <c:v>kanan samping Z2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8544-4BD6-AC49-4D03D67D73AE}"/>
            </c:ext>
          </c:extLst>
        </c:ser>
        <c:ser>
          <c:idx val="13"/>
          <c:order val="75"/>
          <c:tx>
            <c:v>kiri bawah Z2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8544-4BD6-AC49-4D03D67D73AE}"/>
            </c:ext>
          </c:extLst>
        </c:ser>
        <c:ser>
          <c:idx val="14"/>
          <c:order val="76"/>
          <c:tx>
            <c:v>kiri samping z2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8544-4BD6-AC49-4D03D67D73AE}"/>
            </c:ext>
          </c:extLst>
        </c:ser>
        <c:ser>
          <c:idx val="15"/>
          <c:order val="77"/>
          <c:tx>
            <c:v>Reach Z3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8544-4BD6-AC49-4D03D67D73AE}"/>
              </c:ext>
            </c:extLst>
          </c:dPt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8544-4BD6-AC49-4D03D67D73AE}"/>
            </c:ext>
          </c:extLst>
        </c:ser>
        <c:ser>
          <c:idx val="16"/>
          <c:order val="78"/>
          <c:tx>
            <c:v>kanan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8544-4BD6-AC49-4D03D67D73AE}"/>
            </c:ext>
          </c:extLst>
        </c:ser>
        <c:ser>
          <c:idx val="17"/>
          <c:order val="79"/>
          <c:tx>
            <c:v>kiri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8544-4BD6-AC49-4D03D67D73AE}"/>
            </c:ext>
          </c:extLst>
        </c:ser>
        <c:ser>
          <c:idx val="18"/>
          <c:order val="80"/>
          <c:tx>
            <c:v>kanan bawah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8544-4BD6-AC49-4D03D67D73AE}"/>
            </c:ext>
          </c:extLst>
        </c:ser>
        <c:ser>
          <c:idx val="19"/>
          <c:order val="81"/>
          <c:tx>
            <c:v>Kanan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8544-4BD6-AC49-4D03D67D73AE}"/>
            </c:ext>
          </c:extLst>
        </c:ser>
        <c:ser>
          <c:idx val="20"/>
          <c:order val="82"/>
          <c:tx>
            <c:v>kiri bawah Z3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3">
                    <a:lumMod val="80000"/>
                  </a:schemeClr>
                </a:solidFill>
                <a:ln w="9525">
                  <a:solidFill>
                    <a:schemeClr val="accent3">
                      <a:lumMod val="8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8544-4BD6-AC49-4D03D67D73AE}"/>
              </c:ext>
            </c:extLst>
          </c:dPt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8544-4BD6-AC49-4D03D67D73AE}"/>
            </c:ext>
          </c:extLst>
        </c:ser>
        <c:ser>
          <c:idx val="21"/>
          <c:order val="83"/>
          <c:tx>
            <c:v>kiri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8544-4BD6-AC49-4D03D67D73AE}"/>
            </c:ext>
          </c:extLst>
        </c:ser>
        <c:ser>
          <c:idx val="43"/>
          <c:order val="84"/>
          <c:tx>
            <c:v>R imp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8544-4BD6-AC49-4D03D67D73AE}"/>
            </c:ext>
          </c:extLst>
        </c:ser>
        <c:ser>
          <c:idx val="65"/>
          <c:order val="85"/>
          <c:tx>
            <c:v>MARKER R1</c:v>
          </c:tx>
          <c:spPr>
            <a:ln w="635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plus"/>
              <c:size val="30"/>
              <c:spPr>
                <a:noFill/>
                <a:ln w="25400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8544-4BD6-AC49-4D03D67D73AE}"/>
              </c:ext>
            </c:extLst>
          </c:dPt>
          <c:xVal>
            <c:numRef>
              <c:f>'CHAR DATA'!$AC$58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DATA'!$AD$58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544-4BD6-AC49-4D03D67D73AE}"/>
            </c:ext>
          </c:extLst>
        </c:ser>
        <c:ser>
          <c:idx val="22"/>
          <c:order val="86"/>
          <c:tx>
            <c:v>S IMP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F-8544-4BD6-AC49-4D03D67D73AE}"/>
            </c:ext>
          </c:extLst>
        </c:ser>
        <c:ser>
          <c:idx val="87"/>
          <c:order val="87"/>
          <c:tx>
            <c:v>T IMP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0-8544-4BD6-AC49-4D03D67D73AE}"/>
            </c:ext>
          </c:extLst>
        </c:ser>
        <c:ser>
          <c:idx val="88"/>
          <c:order val="88"/>
          <c:tx>
            <c:v>MARKER S1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plus"/>
              <c:size val="30"/>
              <c:spPr>
                <a:noFill/>
                <a:ln w="25400">
                  <a:solidFill>
                    <a:schemeClr val="accent2"/>
                  </a:solidFill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61-8544-4BD6-AC49-4D03D67D73AE}"/>
              </c:ext>
            </c:extLst>
          </c:dPt>
          <c:xVal>
            <c:numRef>
              <c:f>'CHAR DATA'!$AC$61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DATA'!$AD$61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2-8544-4BD6-AC49-4D03D67D73AE}"/>
            </c:ext>
          </c:extLst>
        </c:ser>
        <c:ser>
          <c:idx val="89"/>
          <c:order val="89"/>
          <c:tx>
            <c:v>MARKER T1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DATA'!$AC$64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DATA'!$AD$64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3-8544-4BD6-AC49-4D03D67D73AE}"/>
            </c:ext>
          </c:extLst>
        </c:ser>
        <c:ser>
          <c:idx val="90"/>
          <c:order val="90"/>
          <c:tx>
            <c:v>MARKER R2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DATA'!$AL$58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DATA'!$AM$58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8544-4BD6-AC49-4D03D67D73AE}"/>
            </c:ext>
          </c:extLst>
        </c:ser>
        <c:ser>
          <c:idx val="91"/>
          <c:order val="91"/>
          <c:tx>
            <c:v>MARKER S2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DATA'!$AM$61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5-8544-4BD6-AC49-4D03D67D73AE}"/>
            </c:ext>
          </c:extLst>
        </c:ser>
        <c:ser>
          <c:idx val="92"/>
          <c:order val="92"/>
          <c:tx>
            <c:v>MARKER T2</c:v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DATA'!$AM$64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6-8544-4BD6-AC49-4D03D67D7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931904"/>
        <c:axId val="880931248"/>
        <c:extLst/>
      </c:scatterChart>
      <c:valAx>
        <c:axId val="88093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248"/>
        <c:crosses val="autoZero"/>
        <c:crossBetween val="midCat"/>
      </c:valAx>
      <c:valAx>
        <c:axId val="880931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90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/>
      </a:solidFill>
      <a:round/>
    </a:ln>
    <a:effectLst>
      <a:softEdge rad="6350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966018101641576E-2"/>
          <c:y val="1.1006534339457568E-2"/>
          <c:w val="0.96771940031425541"/>
          <c:h val="0.97772177047716657"/>
        </c:manualLayout>
      </c:layout>
      <c:scatterChart>
        <c:scatterStyle val="smoothMarker"/>
        <c:varyColors val="0"/>
        <c:ser>
          <c:idx val="44"/>
          <c:order val="0"/>
          <c:tx>
            <c:v>Reach Z1</c:v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BD-42BB-BC65-1A3A60CA6300}"/>
            </c:ext>
          </c:extLst>
        </c:ser>
        <c:ser>
          <c:idx val="45"/>
          <c:order val="1"/>
          <c:tx>
            <c:v>Atas Kanan Z1</c:v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BD-42BB-BC65-1A3A60CA6300}"/>
            </c:ext>
          </c:extLst>
        </c:ser>
        <c:ser>
          <c:idx val="46"/>
          <c:order val="2"/>
          <c:tx>
            <c:v>Atas Kiri Z1</c:v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BD-42BB-BC65-1A3A60CA6300}"/>
            </c:ext>
          </c:extLst>
        </c:ser>
        <c:ser>
          <c:idx val="47"/>
          <c:order val="3"/>
          <c:tx>
            <c:v>Kanan Bawah Z1</c:v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BD-42BB-BC65-1A3A60CA6300}"/>
            </c:ext>
          </c:extLst>
        </c:ser>
        <c:ser>
          <c:idx val="48"/>
          <c:order val="4"/>
          <c:tx>
            <c:v>kanan samping Z1</c:v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4BD-42BB-BC65-1A3A60CA6300}"/>
            </c:ext>
          </c:extLst>
        </c:ser>
        <c:ser>
          <c:idx val="49"/>
          <c:order val="5"/>
          <c:tx>
            <c:v>Kiri Bawah Z1</c:v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4BD-42BB-BC65-1A3A60CA6300}"/>
            </c:ext>
          </c:extLst>
        </c:ser>
        <c:ser>
          <c:idx val="50"/>
          <c:order val="6"/>
          <c:tx>
            <c:v>samping kiri Z1</c:v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4BD-42BB-BC65-1A3A60CA6300}"/>
            </c:ext>
          </c:extLst>
        </c:ser>
        <c:ser>
          <c:idx val="51"/>
          <c:order val="7"/>
          <c:tx>
            <c:v>Reach Z2</c:v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4BD-42BB-BC65-1A3A60CA6300}"/>
            </c:ext>
          </c:extLst>
        </c:ser>
        <c:ser>
          <c:idx val="52"/>
          <c:order val="8"/>
          <c:tx>
            <c:v>kanan atas Z2</c:v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4BD-42BB-BC65-1A3A60CA6300}"/>
            </c:ext>
          </c:extLst>
        </c:ser>
        <c:ser>
          <c:idx val="53"/>
          <c:order val="9"/>
          <c:tx>
            <c:v>kiri Atas Z2</c:v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4BD-42BB-BC65-1A3A60CA6300}"/>
            </c:ext>
          </c:extLst>
        </c:ser>
        <c:ser>
          <c:idx val="54"/>
          <c:order val="10"/>
          <c:tx>
            <c:v>kanan bawah z2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4BD-42BB-BC65-1A3A60CA6300}"/>
            </c:ext>
          </c:extLst>
        </c:ser>
        <c:ser>
          <c:idx val="55"/>
          <c:order val="11"/>
          <c:tx>
            <c:v>kanan samping Z2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4BD-42BB-BC65-1A3A60CA6300}"/>
            </c:ext>
          </c:extLst>
        </c:ser>
        <c:ser>
          <c:idx val="56"/>
          <c:order val="12"/>
          <c:tx>
            <c:v>kiri bawah Z2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4BD-42BB-BC65-1A3A60CA6300}"/>
            </c:ext>
          </c:extLst>
        </c:ser>
        <c:ser>
          <c:idx val="57"/>
          <c:order val="13"/>
          <c:tx>
            <c:v>kiri samping z2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4BD-42BB-BC65-1A3A60CA6300}"/>
            </c:ext>
          </c:extLst>
        </c:ser>
        <c:ser>
          <c:idx val="58"/>
          <c:order val="14"/>
          <c:tx>
            <c:v>Reach Z3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4BD-42BB-BC65-1A3A60CA6300}"/>
            </c:ext>
          </c:extLst>
        </c:ser>
        <c:ser>
          <c:idx val="59"/>
          <c:order val="15"/>
          <c:tx>
            <c:v>kanan atas Z3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4BD-42BB-BC65-1A3A60CA6300}"/>
            </c:ext>
          </c:extLst>
        </c:ser>
        <c:ser>
          <c:idx val="60"/>
          <c:order val="16"/>
          <c:tx>
            <c:v>kiri atas Z3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4BD-42BB-BC65-1A3A60CA6300}"/>
            </c:ext>
          </c:extLst>
        </c:ser>
        <c:ser>
          <c:idx val="61"/>
          <c:order val="17"/>
          <c:tx>
            <c:v>kanan bawah Z1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4BD-42BB-BC65-1A3A60CA6300}"/>
            </c:ext>
          </c:extLst>
        </c:ser>
        <c:ser>
          <c:idx val="62"/>
          <c:order val="18"/>
          <c:tx>
            <c:v>Kanan samping Z3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4BD-42BB-BC65-1A3A60CA6300}"/>
            </c:ext>
          </c:extLst>
        </c:ser>
        <c:ser>
          <c:idx val="63"/>
          <c:order val="19"/>
          <c:tx>
            <c:v>kiri bawah Z3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4BD-42BB-BC65-1A3A60CA6300}"/>
            </c:ext>
          </c:extLst>
        </c:ser>
        <c:ser>
          <c:idx val="64"/>
          <c:order val="20"/>
          <c:tx>
            <c:v>kiri samping z3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4BD-42BB-BC65-1A3A60CA6300}"/>
            </c:ext>
          </c:extLst>
        </c:ser>
        <c:ser>
          <c:idx val="66"/>
          <c:order val="21"/>
          <c:tx>
            <c:v>Reach Z1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4BD-42BB-BC65-1A3A60CA6300}"/>
            </c:ext>
          </c:extLst>
        </c:ser>
        <c:ser>
          <c:idx val="67"/>
          <c:order val="22"/>
          <c:tx>
            <c:v>Atas Kanan Z1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4BD-42BB-BC65-1A3A60CA6300}"/>
            </c:ext>
          </c:extLst>
        </c:ser>
        <c:ser>
          <c:idx val="68"/>
          <c:order val="23"/>
          <c:tx>
            <c:v>Atas Kiri Z1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4BD-42BB-BC65-1A3A60CA6300}"/>
            </c:ext>
          </c:extLst>
        </c:ser>
        <c:ser>
          <c:idx val="69"/>
          <c:order val="24"/>
          <c:tx>
            <c:v>Kanan Bawah Z1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4BD-42BB-BC65-1A3A60CA6300}"/>
            </c:ext>
          </c:extLst>
        </c:ser>
        <c:ser>
          <c:idx val="70"/>
          <c:order val="25"/>
          <c:tx>
            <c:v>kanan samping Z1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4BD-42BB-BC65-1A3A60CA6300}"/>
            </c:ext>
          </c:extLst>
        </c:ser>
        <c:ser>
          <c:idx val="71"/>
          <c:order val="26"/>
          <c:tx>
            <c:v>Kiri Bawah Z1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4BD-42BB-BC65-1A3A60CA6300}"/>
            </c:ext>
          </c:extLst>
        </c:ser>
        <c:ser>
          <c:idx val="72"/>
          <c:order val="27"/>
          <c:tx>
            <c:v>samping kiri Z1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4BD-42BB-BC65-1A3A60CA6300}"/>
            </c:ext>
          </c:extLst>
        </c:ser>
        <c:ser>
          <c:idx val="73"/>
          <c:order val="28"/>
          <c:tx>
            <c:v>Reach Z2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4BD-42BB-BC65-1A3A60CA6300}"/>
            </c:ext>
          </c:extLst>
        </c:ser>
        <c:ser>
          <c:idx val="74"/>
          <c:order val="29"/>
          <c:tx>
            <c:v>kanan atas Z2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4BD-42BB-BC65-1A3A60CA6300}"/>
            </c:ext>
          </c:extLst>
        </c:ser>
        <c:ser>
          <c:idx val="75"/>
          <c:order val="30"/>
          <c:tx>
            <c:v>kiri Atas Z2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4BD-42BB-BC65-1A3A60CA6300}"/>
            </c:ext>
          </c:extLst>
        </c:ser>
        <c:ser>
          <c:idx val="76"/>
          <c:order val="31"/>
          <c:tx>
            <c:v>kanan bawah z2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C4BD-42BB-BC65-1A3A60CA6300}"/>
            </c:ext>
          </c:extLst>
        </c:ser>
        <c:ser>
          <c:idx val="77"/>
          <c:order val="32"/>
          <c:tx>
            <c:v>kanan samping Z2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4BD-42BB-BC65-1A3A60CA6300}"/>
            </c:ext>
          </c:extLst>
        </c:ser>
        <c:ser>
          <c:idx val="78"/>
          <c:order val="33"/>
          <c:tx>
            <c:v>kiri bawah Z2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C4BD-42BB-BC65-1A3A60CA6300}"/>
            </c:ext>
          </c:extLst>
        </c:ser>
        <c:ser>
          <c:idx val="79"/>
          <c:order val="34"/>
          <c:tx>
            <c:v>kiri samping z2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4BD-42BB-BC65-1A3A60CA6300}"/>
            </c:ext>
          </c:extLst>
        </c:ser>
        <c:ser>
          <c:idx val="80"/>
          <c:order val="35"/>
          <c:tx>
            <c:v>Reach Z3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4BD-42BB-BC65-1A3A60CA6300}"/>
            </c:ext>
          </c:extLst>
        </c:ser>
        <c:ser>
          <c:idx val="81"/>
          <c:order val="36"/>
          <c:tx>
            <c:v>kanan atas Z3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4BD-42BB-BC65-1A3A60CA6300}"/>
            </c:ext>
          </c:extLst>
        </c:ser>
        <c:ser>
          <c:idx val="82"/>
          <c:order val="37"/>
          <c:tx>
            <c:v>kiri atas Z3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C4BD-42BB-BC65-1A3A60CA6300}"/>
            </c:ext>
          </c:extLst>
        </c:ser>
        <c:ser>
          <c:idx val="83"/>
          <c:order val="38"/>
          <c:tx>
            <c:v>kanan bawah Z1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4BD-42BB-BC65-1A3A60CA6300}"/>
            </c:ext>
          </c:extLst>
        </c:ser>
        <c:ser>
          <c:idx val="84"/>
          <c:order val="39"/>
          <c:tx>
            <c:v>Kanan samping Z3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C4BD-42BB-BC65-1A3A60CA6300}"/>
            </c:ext>
          </c:extLst>
        </c:ser>
        <c:ser>
          <c:idx val="85"/>
          <c:order val="40"/>
          <c:tx>
            <c:v>kiri bawah Z3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C4BD-42BB-BC65-1A3A60CA6300}"/>
            </c:ext>
          </c:extLst>
        </c:ser>
        <c:ser>
          <c:idx val="86"/>
          <c:order val="41"/>
          <c:tx>
            <c:v>kiri samping z3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C4BD-42BB-BC65-1A3A60CA6300}"/>
            </c:ext>
          </c:extLst>
        </c:ser>
        <c:ser>
          <c:idx val="0"/>
          <c:order val="42"/>
          <c:tx>
            <c:v>Reach Z1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C4BD-42BB-BC65-1A3A60CA6300}"/>
            </c:ext>
          </c:extLst>
        </c:ser>
        <c:ser>
          <c:idx val="23"/>
          <c:order val="43"/>
          <c:tx>
            <c:v>Atas Kanan Z1</c:v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4BD-42BB-BC65-1A3A60CA6300}"/>
            </c:ext>
          </c:extLst>
        </c:ser>
        <c:ser>
          <c:idx val="24"/>
          <c:order val="44"/>
          <c:tx>
            <c:v>Atas Kiri Z1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C4BD-42BB-BC65-1A3A60CA6300}"/>
            </c:ext>
          </c:extLst>
        </c:ser>
        <c:ser>
          <c:idx val="25"/>
          <c:order val="45"/>
          <c:tx>
            <c:v>Kanan Bawah Z1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C4BD-42BB-BC65-1A3A60CA6300}"/>
            </c:ext>
          </c:extLst>
        </c:ser>
        <c:ser>
          <c:idx val="26"/>
          <c:order val="46"/>
          <c:tx>
            <c:v>kanan samping Z1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C4BD-42BB-BC65-1A3A60CA6300}"/>
            </c:ext>
          </c:extLst>
        </c:ser>
        <c:ser>
          <c:idx val="27"/>
          <c:order val="47"/>
          <c:tx>
            <c:v>Kiri Bawah Z1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C4BD-42BB-BC65-1A3A60CA6300}"/>
            </c:ext>
          </c:extLst>
        </c:ser>
        <c:ser>
          <c:idx val="28"/>
          <c:order val="48"/>
          <c:tx>
            <c:v>samping kiri Z1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C4BD-42BB-BC65-1A3A60CA6300}"/>
            </c:ext>
          </c:extLst>
        </c:ser>
        <c:ser>
          <c:idx val="29"/>
          <c:order val="49"/>
          <c:tx>
            <c:v>Reach Z2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C4BD-42BB-BC65-1A3A60CA6300}"/>
            </c:ext>
          </c:extLst>
        </c:ser>
        <c:ser>
          <c:idx val="30"/>
          <c:order val="50"/>
          <c:tx>
            <c:v>kanan atas Z2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C4BD-42BB-BC65-1A3A60CA6300}"/>
            </c:ext>
          </c:extLst>
        </c:ser>
        <c:ser>
          <c:idx val="31"/>
          <c:order val="51"/>
          <c:tx>
            <c:v>kiri Atas Z2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C4BD-42BB-BC65-1A3A60CA6300}"/>
            </c:ext>
          </c:extLst>
        </c:ser>
        <c:ser>
          <c:idx val="32"/>
          <c:order val="52"/>
          <c:tx>
            <c:v>kanan bawah z2</c:v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C4BD-42BB-BC65-1A3A60CA6300}"/>
            </c:ext>
          </c:extLst>
        </c:ser>
        <c:ser>
          <c:idx val="33"/>
          <c:order val="53"/>
          <c:tx>
            <c:v>kanan samping Z2</c:v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C4BD-42BB-BC65-1A3A60CA6300}"/>
            </c:ext>
          </c:extLst>
        </c:ser>
        <c:ser>
          <c:idx val="34"/>
          <c:order val="54"/>
          <c:tx>
            <c:v>kiri bawah Z2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C4BD-42BB-BC65-1A3A60CA6300}"/>
            </c:ext>
          </c:extLst>
        </c:ser>
        <c:ser>
          <c:idx val="35"/>
          <c:order val="55"/>
          <c:tx>
            <c:v>kiri samping z2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C4BD-42BB-BC65-1A3A60CA6300}"/>
            </c:ext>
          </c:extLst>
        </c:ser>
        <c:ser>
          <c:idx val="36"/>
          <c:order val="56"/>
          <c:tx>
            <c:v>Reach Z3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4BD-42BB-BC65-1A3A60CA6300}"/>
            </c:ext>
          </c:extLst>
        </c:ser>
        <c:ser>
          <c:idx val="37"/>
          <c:order val="57"/>
          <c:tx>
            <c:v>kanan atas Z3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4BD-42BB-BC65-1A3A60CA6300}"/>
            </c:ext>
          </c:extLst>
        </c:ser>
        <c:ser>
          <c:idx val="38"/>
          <c:order val="58"/>
          <c:tx>
            <c:v>kiri atas Z3</c:v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4BD-42BB-BC65-1A3A60CA6300}"/>
            </c:ext>
          </c:extLst>
        </c:ser>
        <c:ser>
          <c:idx val="39"/>
          <c:order val="59"/>
          <c:tx>
            <c:v>kanan bawah Z1</c:v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4BD-42BB-BC65-1A3A60CA6300}"/>
            </c:ext>
          </c:extLst>
        </c:ser>
        <c:ser>
          <c:idx val="40"/>
          <c:order val="60"/>
          <c:tx>
            <c:v>Kanan samping Z3</c:v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4BD-42BB-BC65-1A3A60CA6300}"/>
            </c:ext>
          </c:extLst>
        </c:ser>
        <c:ser>
          <c:idx val="41"/>
          <c:order val="61"/>
          <c:tx>
            <c:v>kiri bawah Z3</c:v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4BD-42BB-BC65-1A3A60CA6300}"/>
            </c:ext>
          </c:extLst>
        </c:ser>
        <c:ser>
          <c:idx val="42"/>
          <c:order val="62"/>
          <c:tx>
            <c:v>kiri samping z3</c:v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4BD-42BB-BC65-1A3A60CA6300}"/>
            </c:ext>
          </c:extLst>
        </c:ser>
        <c:ser>
          <c:idx val="1"/>
          <c:order val="63"/>
          <c:tx>
            <c:v>Reach 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C4BD-42BB-BC65-1A3A60CA6300}"/>
            </c:ext>
          </c:extLst>
        </c:ser>
        <c:ser>
          <c:idx val="2"/>
          <c:order val="64"/>
          <c:tx>
            <c:v>Atas Kanan Z1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C4BD-42BB-BC65-1A3A60CA6300}"/>
              </c:ext>
            </c:extLst>
          </c:dPt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C4BD-42BB-BC65-1A3A60CA6300}"/>
            </c:ext>
          </c:extLst>
        </c:ser>
        <c:ser>
          <c:idx val="3"/>
          <c:order val="65"/>
          <c:tx>
            <c:v>Atas Kiri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C4BD-42BB-BC65-1A3A60CA6300}"/>
            </c:ext>
          </c:extLst>
        </c:ser>
        <c:ser>
          <c:idx val="4"/>
          <c:order val="66"/>
          <c:tx>
            <c:v>Kanan Bawah Z1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C4BD-42BB-BC65-1A3A60CA6300}"/>
            </c:ext>
          </c:extLst>
        </c:ser>
        <c:ser>
          <c:idx val="5"/>
          <c:order val="67"/>
          <c:tx>
            <c:v>kanan samping Z1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C4BD-42BB-BC65-1A3A60CA6300}"/>
            </c:ext>
          </c:extLst>
        </c:ser>
        <c:ser>
          <c:idx val="6"/>
          <c:order val="68"/>
          <c:tx>
            <c:v>Kiri Bawah Z1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C4BD-42BB-BC65-1A3A60CA6300}"/>
            </c:ext>
          </c:extLst>
        </c:ser>
        <c:ser>
          <c:idx val="7"/>
          <c:order val="69"/>
          <c:tx>
            <c:v>samping kiri Z1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C4BD-42BB-BC65-1A3A60CA6300}"/>
            </c:ext>
          </c:extLst>
        </c:ser>
        <c:ser>
          <c:idx val="8"/>
          <c:order val="70"/>
          <c:tx>
            <c:v>Reach Z2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C4BD-42BB-BC65-1A3A60CA6300}"/>
              </c:ext>
            </c:extLst>
          </c:dPt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C4BD-42BB-BC65-1A3A60CA6300}"/>
            </c:ext>
          </c:extLst>
        </c:ser>
        <c:ser>
          <c:idx val="9"/>
          <c:order val="71"/>
          <c:tx>
            <c:v>kanan atas Z2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C4BD-42BB-BC65-1A3A60CA6300}"/>
              </c:ext>
            </c:extLst>
          </c:dPt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C4BD-42BB-BC65-1A3A60CA6300}"/>
            </c:ext>
          </c:extLst>
        </c:ser>
        <c:ser>
          <c:idx val="10"/>
          <c:order val="72"/>
          <c:tx>
            <c:v>kiri Atas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C4BD-42BB-BC65-1A3A60CA6300}"/>
            </c:ext>
          </c:extLst>
        </c:ser>
        <c:ser>
          <c:idx val="11"/>
          <c:order val="73"/>
          <c:tx>
            <c:v>kanan bawah z2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C4BD-42BB-BC65-1A3A60CA6300}"/>
            </c:ext>
          </c:extLst>
        </c:ser>
        <c:ser>
          <c:idx val="12"/>
          <c:order val="74"/>
          <c:tx>
            <c:v>kanan samping Z2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C4BD-42BB-BC65-1A3A60CA6300}"/>
            </c:ext>
          </c:extLst>
        </c:ser>
        <c:ser>
          <c:idx val="13"/>
          <c:order val="75"/>
          <c:tx>
            <c:v>kiri bawah Z2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C4BD-42BB-BC65-1A3A60CA6300}"/>
            </c:ext>
          </c:extLst>
        </c:ser>
        <c:ser>
          <c:idx val="14"/>
          <c:order val="76"/>
          <c:tx>
            <c:v>kiri samping z2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C4BD-42BB-BC65-1A3A60CA6300}"/>
            </c:ext>
          </c:extLst>
        </c:ser>
        <c:ser>
          <c:idx val="15"/>
          <c:order val="77"/>
          <c:tx>
            <c:v>Reach Z3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C4BD-42BB-BC65-1A3A60CA6300}"/>
              </c:ext>
            </c:extLst>
          </c:dPt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C4BD-42BB-BC65-1A3A60CA6300}"/>
            </c:ext>
          </c:extLst>
        </c:ser>
        <c:ser>
          <c:idx val="16"/>
          <c:order val="78"/>
          <c:tx>
            <c:v>kanan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C4BD-42BB-BC65-1A3A60CA6300}"/>
            </c:ext>
          </c:extLst>
        </c:ser>
        <c:ser>
          <c:idx val="17"/>
          <c:order val="79"/>
          <c:tx>
            <c:v>kiri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C4BD-42BB-BC65-1A3A60CA6300}"/>
            </c:ext>
          </c:extLst>
        </c:ser>
        <c:ser>
          <c:idx val="18"/>
          <c:order val="80"/>
          <c:tx>
            <c:v>kanan bawah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C4BD-42BB-BC65-1A3A60CA6300}"/>
            </c:ext>
          </c:extLst>
        </c:ser>
        <c:ser>
          <c:idx val="19"/>
          <c:order val="81"/>
          <c:tx>
            <c:v>Kanan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C4BD-42BB-BC65-1A3A60CA6300}"/>
            </c:ext>
          </c:extLst>
        </c:ser>
        <c:ser>
          <c:idx val="20"/>
          <c:order val="82"/>
          <c:tx>
            <c:v>kiri bawah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3">
                    <a:lumMod val="80000"/>
                  </a:schemeClr>
                </a:solidFill>
                <a:ln w="9525">
                  <a:solidFill>
                    <a:schemeClr val="accent3">
                      <a:lumMod val="8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C4BD-42BB-BC65-1A3A60CA6300}"/>
              </c:ext>
            </c:extLst>
          </c:dPt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C4BD-42BB-BC65-1A3A60CA6300}"/>
            </c:ext>
          </c:extLst>
        </c:ser>
        <c:ser>
          <c:idx val="21"/>
          <c:order val="83"/>
          <c:tx>
            <c:v>kiri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C4BD-42BB-BC65-1A3A60CA6300}"/>
            </c:ext>
          </c:extLst>
        </c:ser>
        <c:ser>
          <c:idx val="43"/>
          <c:order val="84"/>
          <c:tx>
            <c:v>R imp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C4BD-42BB-BC65-1A3A60CA6300}"/>
            </c:ext>
          </c:extLst>
        </c:ser>
        <c:ser>
          <c:idx val="65"/>
          <c:order val="85"/>
          <c:tx>
            <c:v>MARKER R1</c:v>
          </c:tx>
          <c:spPr>
            <a:ln w="635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19050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plus"/>
              <c:size val="30"/>
              <c:spPr>
                <a:noFill/>
                <a:ln w="19050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C4BD-42BB-BC65-1A3A60CA6300}"/>
              </c:ext>
            </c:extLst>
          </c:dPt>
          <c:xVal>
            <c:numRef>
              <c:f>'CHAR DATA'!$AC$58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DATA'!$AD$58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C4BD-42BB-BC65-1A3A60CA6300}"/>
            </c:ext>
          </c:extLst>
        </c:ser>
        <c:ser>
          <c:idx val="22"/>
          <c:order val="86"/>
          <c:tx>
            <c:v>S IMP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F-C4BD-42BB-BC65-1A3A60CA6300}"/>
            </c:ext>
          </c:extLst>
        </c:ser>
        <c:ser>
          <c:idx val="87"/>
          <c:order val="87"/>
          <c:tx>
            <c:v>T IMP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0-C4BD-42BB-BC65-1A3A60CA6300}"/>
            </c:ext>
          </c:extLst>
        </c:ser>
        <c:ser>
          <c:idx val="88"/>
          <c:order val="88"/>
          <c:tx>
            <c:v>MARKER S1</c:v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19050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plus"/>
              <c:size val="30"/>
              <c:spPr>
                <a:noFill/>
                <a:ln w="19050">
                  <a:solidFill>
                    <a:schemeClr val="accent2"/>
                  </a:solidFill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61-C4BD-42BB-BC65-1A3A60CA6300}"/>
              </c:ext>
            </c:extLst>
          </c:dPt>
          <c:xVal>
            <c:numRef>
              <c:f>'CHAR DATA'!$AC$61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DATA'!$AD$61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2-C4BD-42BB-BC65-1A3A60CA6300}"/>
            </c:ext>
          </c:extLst>
        </c:ser>
        <c:ser>
          <c:idx val="89"/>
          <c:order val="89"/>
          <c:tx>
            <c:v>MARKER T1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19050">
                <a:solidFill>
                  <a:schemeClr val="accent2"/>
                </a:solidFill>
              </a:ln>
              <a:effectLst/>
            </c:spPr>
          </c:marker>
          <c:xVal>
            <c:numRef>
              <c:f>'CHAR DATA'!$AC$64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DATA'!$AD$64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3-C4BD-42BB-BC65-1A3A60CA6300}"/>
            </c:ext>
          </c:extLst>
        </c:ser>
        <c:ser>
          <c:idx val="90"/>
          <c:order val="90"/>
          <c:tx>
            <c:v>MARKER R2</c:v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DATA'!$AL$58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DATA'!$AM$58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C4BD-42BB-BC65-1A3A60CA6300}"/>
            </c:ext>
          </c:extLst>
        </c:ser>
        <c:ser>
          <c:idx val="91"/>
          <c:order val="91"/>
          <c:tx>
            <c:v>MARKER S2</c:v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DATA'!$AM$61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5-C4BD-42BB-BC65-1A3A60CA6300}"/>
            </c:ext>
          </c:extLst>
        </c:ser>
        <c:ser>
          <c:idx val="92"/>
          <c:order val="92"/>
          <c:tx>
            <c:v>MARKER T2</c:v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xVal>
            <c:numRef>
              <c:f>'CHAR DATA'!$AL$64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'CHAR DATA'!$AM$64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66-C4BD-42BB-BC65-1A3A60CA6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931904"/>
        <c:axId val="880931248"/>
        <c:extLst/>
      </c:scatterChart>
      <c:valAx>
        <c:axId val="880931904"/>
        <c:scaling>
          <c:orientation val="minMax"/>
          <c:max val="77"/>
          <c:min val="-38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248"/>
        <c:crosses val="autoZero"/>
        <c:crossBetween val="midCat"/>
      </c:valAx>
      <c:valAx>
        <c:axId val="880931248"/>
        <c:scaling>
          <c:orientation val="minMax"/>
          <c:max val="77"/>
          <c:min val="-38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90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alpha val="25000"/>
      </a:schemeClr>
    </a:solidFill>
    <a:ln w="9525" cap="flat" cmpd="sng" algn="ctr">
      <a:noFill/>
      <a:round/>
    </a:ln>
    <a:effectLst>
      <a:softEdge rad="3175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4243051524625E-2"/>
          <c:y val="2.1189304461942258E-2"/>
          <c:w val="0.93668010886394304"/>
          <c:h val="0.95762139107611544"/>
        </c:manualLayout>
      </c:layout>
      <c:scatterChart>
        <c:scatterStyle val="smoothMarker"/>
        <c:varyColors val="0"/>
        <c:ser>
          <c:idx val="1"/>
          <c:order val="0"/>
          <c:tx>
            <c:v>Reach Z1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DATA'!$S$14:$S$15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DATA'!$T$14:$T$15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D2-444B-AD22-874F80D0F1D9}"/>
            </c:ext>
          </c:extLst>
        </c:ser>
        <c:ser>
          <c:idx val="2"/>
          <c:order val="1"/>
          <c:tx>
            <c:v>Atas Kanan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DATA'!$S$17:$S$18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6.2280539660026051</c:v>
                </c:pt>
              </c:numCache>
            </c:numRef>
          </c:xVal>
          <c:yVal>
            <c:numRef>
              <c:f>'CHAR DATA'!$T$17:$T$18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D2-444B-AD22-874F80D0F1D9}"/>
            </c:ext>
          </c:extLst>
        </c:ser>
        <c:ser>
          <c:idx val="3"/>
          <c:order val="2"/>
          <c:tx>
            <c:v>Atas Kiri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DATA'!$S$20:$S$21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-1.8854460339973946</c:v>
                </c:pt>
              </c:numCache>
            </c:numRef>
          </c:xVal>
          <c:yVal>
            <c:numRef>
              <c:f>'CHAR DATA'!$T$20:$T$21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D2-444B-AD22-874F80D0F1D9}"/>
            </c:ext>
          </c:extLst>
        </c:ser>
        <c:ser>
          <c:idx val="4"/>
          <c:order val="3"/>
          <c:tx>
            <c:v>Kanan Bawah Z1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DATA'!$S$23:$S$24</c:f>
              <c:numCache>
                <c:formatCode>General</c:formatCode>
                <c:ptCount val="2"/>
                <c:pt idx="0">
                  <c:v>0</c:v>
                </c:pt>
                <c:pt idx="1">
                  <c:v>5.1771380677591363</c:v>
                </c:pt>
              </c:numCache>
            </c:numRef>
          </c:xVal>
          <c:yVal>
            <c:numRef>
              <c:f>'CHAR DATA'!$T$23:$T$24</c:f>
              <c:numCache>
                <c:formatCode>General</c:formatCode>
                <c:ptCount val="2"/>
                <c:pt idx="0">
                  <c:v>0</c:v>
                </c:pt>
                <c:pt idx="1">
                  <c:v>-1.0956191107626598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D2-444B-AD22-874F80D0F1D9}"/>
            </c:ext>
          </c:extLst>
        </c:ser>
        <c:ser>
          <c:idx val="5"/>
          <c:order val="4"/>
          <c:tx>
            <c:v>kanan samping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DATA'!$S$26:$S$27</c:f>
              <c:numCache>
                <c:formatCode>General</c:formatCode>
                <c:ptCount val="2"/>
                <c:pt idx="0">
                  <c:v>5.1771380677591363</c:v>
                </c:pt>
                <c:pt idx="1">
                  <c:v>6.2280539660026051</c:v>
                </c:pt>
              </c:numCache>
            </c:numRef>
          </c:xVal>
          <c:yVal>
            <c:numRef>
              <c:f>'CHAR DATA'!$T$26:$T$27</c:f>
              <c:numCache>
                <c:formatCode>General</c:formatCode>
                <c:ptCount val="2"/>
                <c:pt idx="0">
                  <c:v>-1.0956191107626598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FD2-444B-AD22-874F80D0F1D9}"/>
            </c:ext>
          </c:extLst>
        </c:ser>
        <c:ser>
          <c:idx val="6"/>
          <c:order val="5"/>
          <c:tx>
            <c:v>Kiri Bawah Z1</c:v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DATA'!$S$29:$S$30</c:f>
              <c:numCache>
                <c:formatCode>General</c:formatCode>
                <c:ptCount val="2"/>
                <c:pt idx="0">
                  <c:v>0</c:v>
                </c:pt>
                <c:pt idx="1">
                  <c:v>-2.5885690338795682</c:v>
                </c:pt>
              </c:numCache>
            </c:numRef>
          </c:xVal>
          <c:yVal>
            <c:numRef>
              <c:f>'CHAR DATA'!$T$29:$T$30</c:f>
              <c:numCache>
                <c:formatCode>General</c:formatCode>
                <c:ptCount val="2"/>
                <c:pt idx="0">
                  <c:v>0</c:v>
                </c:pt>
                <c:pt idx="1">
                  <c:v>0.54780955538132992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FD2-444B-AD22-874F80D0F1D9}"/>
            </c:ext>
          </c:extLst>
        </c:ser>
        <c:ser>
          <c:idx val="7"/>
          <c:order val="6"/>
          <c:tx>
            <c:v>samping kiri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DATA'!$S$32:$S$33</c:f>
              <c:numCache>
                <c:formatCode>General</c:formatCode>
                <c:ptCount val="2"/>
                <c:pt idx="0">
                  <c:v>-1.8854460339973946</c:v>
                </c:pt>
                <c:pt idx="1">
                  <c:v>-2.5885690338795682</c:v>
                </c:pt>
              </c:numCache>
            </c:numRef>
          </c:xVal>
          <c:yVal>
            <c:numRef>
              <c:f>'CHAR DATA'!$T$32:$T$33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0.54780955538132992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FD2-444B-AD22-874F80D0F1D9}"/>
            </c:ext>
          </c:extLst>
        </c:ser>
        <c:ser>
          <c:idx val="8"/>
          <c:order val="7"/>
          <c:tx>
            <c:v>Reach Z2</c:v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lumMod val="60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lumMod val="60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60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FD2-444B-AD22-874F80D0F1D9}"/>
              </c:ext>
            </c:extLst>
          </c:dPt>
          <c:xVal>
            <c:numRef>
              <c:f>'CHAR DATA'!$X$14:$X$15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DATA'!$Y$14:$Y$15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FD2-444B-AD22-874F80D0F1D9}"/>
            </c:ext>
          </c:extLst>
        </c:ser>
        <c:ser>
          <c:idx val="9"/>
          <c:order val="8"/>
          <c:tx>
            <c:v>kanan atas Z2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DATA'!$X$17:$X$18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9.6395046460737994</c:v>
                </c:pt>
              </c:numCache>
            </c:numRef>
          </c:xVal>
          <c:yVal>
            <c:numRef>
              <c:f>'CHAR DATA'!$Y$17:$Y$18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FD2-444B-AD22-874F80D0F1D9}"/>
            </c:ext>
          </c:extLst>
        </c:ser>
        <c:ser>
          <c:idx val="10"/>
          <c:order val="9"/>
          <c:tx>
            <c:v>kiri Atas Z2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DATA'!$X$20:$X$21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-2.9184953539262009</c:v>
                </c:pt>
              </c:numCache>
            </c:numRef>
          </c:xVal>
          <c:yVal>
            <c:numRef>
              <c:f>'CHAR DATA'!$Y$20:$Y$21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FD2-444B-AD22-874F80D0F1D9}"/>
            </c:ext>
          </c:extLst>
        </c:ser>
        <c:ser>
          <c:idx val="11"/>
          <c:order val="10"/>
          <c:tx>
            <c:v>kanan bawah z2</c:v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DATA'!$X$23:$X$24</c:f>
              <c:numCache>
                <c:formatCode>General</c:formatCode>
                <c:ptCount val="2"/>
                <c:pt idx="0">
                  <c:v>0</c:v>
                </c:pt>
                <c:pt idx="1">
                  <c:v>8.0131262531483625</c:v>
                </c:pt>
              </c:numCache>
            </c:numRef>
          </c:xVal>
          <c:yVal>
            <c:numRef>
              <c:f>'CHAR DATA'!$Y$23:$Y$24</c:f>
              <c:numCache>
                <c:formatCode>General</c:formatCode>
                <c:ptCount val="2"/>
                <c:pt idx="0">
                  <c:v>0</c:v>
                </c:pt>
                <c:pt idx="1">
                  <c:v>-1.6957890913856513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FD2-444B-AD22-874F80D0F1D9}"/>
            </c:ext>
          </c:extLst>
        </c:ser>
        <c:ser>
          <c:idx val="12"/>
          <c:order val="11"/>
          <c:tx>
            <c:v>kanan samping Z2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DATA'!$X$26:$X$27</c:f>
              <c:numCache>
                <c:formatCode>General</c:formatCode>
                <c:ptCount val="2"/>
                <c:pt idx="0">
                  <c:v>8.0131262531483625</c:v>
                </c:pt>
                <c:pt idx="1">
                  <c:v>9.6395046460737994</c:v>
                </c:pt>
              </c:numCache>
            </c:numRef>
          </c:xVal>
          <c:yVal>
            <c:numRef>
              <c:f>'CHAR DATA'!$Y$26:$Y$27</c:f>
              <c:numCache>
                <c:formatCode>General</c:formatCode>
                <c:ptCount val="2"/>
                <c:pt idx="0">
                  <c:v>-1.6957890913856513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FD2-444B-AD22-874F80D0F1D9}"/>
            </c:ext>
          </c:extLst>
        </c:ser>
        <c:ser>
          <c:idx val="13"/>
          <c:order val="12"/>
          <c:tx>
            <c:v>kiri bawah Z2</c:v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DATA'!$X$29:$X$30</c:f>
              <c:numCache>
                <c:formatCode>General</c:formatCode>
                <c:ptCount val="2"/>
                <c:pt idx="0">
                  <c:v>0</c:v>
                </c:pt>
                <c:pt idx="1">
                  <c:v>-4.0065631265741812</c:v>
                </c:pt>
              </c:numCache>
            </c:numRef>
          </c:xVal>
          <c:yVal>
            <c:numRef>
              <c:f>'CHAR DATA'!$Y$29:$Y$30</c:f>
              <c:numCache>
                <c:formatCode>General</c:formatCode>
                <c:ptCount val="2"/>
                <c:pt idx="0">
                  <c:v>0</c:v>
                </c:pt>
                <c:pt idx="1">
                  <c:v>0.84789454569282563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FD2-444B-AD22-874F80D0F1D9}"/>
            </c:ext>
          </c:extLst>
        </c:ser>
        <c:ser>
          <c:idx val="14"/>
          <c:order val="13"/>
          <c:tx>
            <c:v>kiri samping z2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DATA'!$X$32:$X$33</c:f>
              <c:numCache>
                <c:formatCode>General</c:formatCode>
                <c:ptCount val="2"/>
                <c:pt idx="0">
                  <c:v>-2.9184953539262009</c:v>
                </c:pt>
                <c:pt idx="1">
                  <c:v>-4.0065631265741812</c:v>
                </c:pt>
              </c:numCache>
            </c:numRef>
          </c:xVal>
          <c:yVal>
            <c:numRef>
              <c:f>'CHAR DATA'!$Y$32:$Y$33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0.84789454569282563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FD2-444B-AD22-874F80D0F1D9}"/>
            </c:ext>
          </c:extLst>
        </c:ser>
        <c:ser>
          <c:idx val="15"/>
          <c:order val="14"/>
          <c:tx>
            <c:v>Reach Z3</c:v>
          </c:tx>
          <c:spPr>
            <a:ln w="2540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9525" cap="rnd">
                  <a:noFill/>
                  <a:round/>
                </a:ln>
                <a:effectLst/>
              </c:spPr>
            </c:marker>
            <c:bubble3D val="0"/>
            <c:spPr>
              <a:ln w="2540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486-4838-B321-0EA8B7937D6A}"/>
              </c:ext>
            </c:extLst>
          </c:dPt>
          <c:xVal>
            <c:numRef>
              <c:f>'CHAR DATA'!$AB$14:$AB$15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DATA'!$AC$14:$AC$15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FD2-444B-AD22-874F80D0F1D9}"/>
            </c:ext>
          </c:extLst>
        </c:ser>
        <c:ser>
          <c:idx val="16"/>
          <c:order val="15"/>
          <c:tx>
            <c:v>kanan atas Z3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DATA'!$AB$17:$AB$18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12.77445408558677</c:v>
                </c:pt>
              </c:numCache>
            </c:numRef>
          </c:xVal>
          <c:yVal>
            <c:numRef>
              <c:f>'CHAR DATA'!$AC$17:$AC$18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FD2-444B-AD22-874F80D0F1D9}"/>
            </c:ext>
          </c:extLst>
        </c:ser>
        <c:ser>
          <c:idx val="17"/>
          <c:order val="16"/>
          <c:tx>
            <c:v>kiri atas Z3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DATA'!$AB$20:$AB$21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-3.8530459144132312</c:v>
                </c:pt>
              </c:numCache>
            </c:numRef>
          </c:xVal>
          <c:yVal>
            <c:numRef>
              <c:f>'CHAR DATA'!$AC$20:$AC$21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FD2-444B-AD22-874F80D0F1D9}"/>
            </c:ext>
          </c:extLst>
        </c:ser>
        <c:ser>
          <c:idx val="18"/>
          <c:order val="17"/>
          <c:tx>
            <c:v>kanan bawah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DATA'!$AB$23:$AB$24</c:f>
              <c:numCache>
                <c:formatCode>General</c:formatCode>
                <c:ptCount val="2"/>
                <c:pt idx="0">
                  <c:v>0</c:v>
                </c:pt>
                <c:pt idx="1">
                  <c:v>10.609830926439274</c:v>
                </c:pt>
              </c:numCache>
            </c:numRef>
          </c:xVal>
          <c:yVal>
            <c:numRef>
              <c:f>'CHAR DATA'!$AC$23:$AC$24</c:f>
              <c:numCache>
                <c:formatCode>General</c:formatCode>
                <c:ptCount val="2"/>
                <c:pt idx="0">
                  <c:v>0</c:v>
                </c:pt>
                <c:pt idx="1">
                  <c:v>-2.2453203628774427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FD2-444B-AD22-874F80D0F1D9}"/>
            </c:ext>
          </c:extLst>
        </c:ser>
        <c:ser>
          <c:idx val="19"/>
          <c:order val="18"/>
          <c:tx>
            <c:v>Kanan samping Z3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DATA'!$AB$26:$AB$27</c:f>
              <c:numCache>
                <c:formatCode>General</c:formatCode>
                <c:ptCount val="2"/>
                <c:pt idx="0">
                  <c:v>10.609830926439274</c:v>
                </c:pt>
                <c:pt idx="1">
                  <c:v>12.77445408558677</c:v>
                </c:pt>
              </c:numCache>
            </c:numRef>
          </c:xVal>
          <c:yVal>
            <c:numRef>
              <c:f>'CHAR DATA'!$AC$26:$AC$27</c:f>
              <c:numCache>
                <c:formatCode>General</c:formatCode>
                <c:ptCount val="2"/>
                <c:pt idx="0">
                  <c:v>-2.2453203628774427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FD2-444B-AD22-874F80D0F1D9}"/>
            </c:ext>
          </c:extLst>
        </c:ser>
        <c:ser>
          <c:idx val="20"/>
          <c:order val="19"/>
          <c:tx>
            <c:v>kiri bawah Z3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9525" cap="rnd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FD2-444B-AD22-874F80D0F1D9}"/>
              </c:ext>
            </c:extLst>
          </c:dPt>
          <c:xVal>
            <c:numRef>
              <c:f>'CHAR DATA'!$AB$29:$AB$30</c:f>
              <c:numCache>
                <c:formatCode>General</c:formatCode>
                <c:ptCount val="2"/>
                <c:pt idx="0">
                  <c:v>0</c:v>
                </c:pt>
                <c:pt idx="1">
                  <c:v>-5.3049154632196371</c:v>
                </c:pt>
              </c:numCache>
            </c:numRef>
          </c:xVal>
          <c:yVal>
            <c:numRef>
              <c:f>'CHAR DATA'!$AC$29:$AC$30</c:f>
              <c:numCache>
                <c:formatCode>General</c:formatCode>
                <c:ptCount val="2"/>
                <c:pt idx="0">
                  <c:v>0</c:v>
                </c:pt>
                <c:pt idx="1">
                  <c:v>1.1226601814387214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FD2-444B-AD22-874F80D0F1D9}"/>
            </c:ext>
          </c:extLst>
        </c:ser>
        <c:ser>
          <c:idx val="21"/>
          <c:order val="20"/>
          <c:tx>
            <c:v>kiri samping z3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DATA'!$AB$32:$AB$33</c:f>
              <c:numCache>
                <c:formatCode>General</c:formatCode>
                <c:ptCount val="2"/>
                <c:pt idx="0">
                  <c:v>-3.8530459144132312</c:v>
                </c:pt>
                <c:pt idx="1">
                  <c:v>-5.3049154632196371</c:v>
                </c:pt>
              </c:numCache>
            </c:numRef>
          </c:xVal>
          <c:yVal>
            <c:numRef>
              <c:f>'CHAR DATA'!$AC$32:$AC$33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1.1226601814387214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FD2-444B-AD22-874F80D0F1D9}"/>
            </c:ext>
          </c:extLst>
        </c:ser>
        <c:ser>
          <c:idx val="22"/>
          <c:order val="21"/>
          <c:tx>
            <c:v>marker AB</c:v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DATA'!$AC$67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DATA'!$AD$67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FD2-444B-AD22-874F80D0F1D9}"/>
            </c:ext>
          </c:extLst>
        </c:ser>
        <c:ser>
          <c:idx val="0"/>
          <c:order val="22"/>
          <c:tx>
            <c:v>imp AB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FD2-444B-AD22-874F80D0F1D9}"/>
            </c:ext>
          </c:extLst>
        </c:ser>
        <c:ser>
          <c:idx val="23"/>
          <c:order val="23"/>
          <c:tx>
            <c:v>IMP BC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 cap="rnd">
                <a:solidFill>
                  <a:srgbClr val="FFC000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FD2-444B-AD22-874F80D0F1D9}"/>
            </c:ext>
          </c:extLst>
        </c:ser>
        <c:ser>
          <c:idx val="24"/>
          <c:order val="24"/>
          <c:tx>
            <c:v>IMP CA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FD2-444B-AD22-874F80D0F1D9}"/>
            </c:ext>
          </c:extLst>
        </c:ser>
        <c:ser>
          <c:idx val="25"/>
          <c:order val="25"/>
          <c:tx>
            <c:v>MARKER BC</c:v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DATA'!$AC$70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DATA'!$AD$70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FD2-444B-AD22-874F80D0F1D9}"/>
            </c:ext>
          </c:extLst>
        </c:ser>
        <c:ser>
          <c:idx val="26"/>
          <c:order val="26"/>
          <c:tx>
            <c:v>MARKER CA</c:v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FD2-444B-AD22-874F80D0F1D9}"/>
            </c:ext>
          </c:extLst>
        </c:ser>
        <c:ser>
          <c:idx val="27"/>
          <c:order val="27"/>
          <c:tx>
            <c:v>MARKER AB2</c:v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/>
            </c:spPr>
          </c:marker>
          <c:xVal>
            <c:numRef>
              <c:f>'CHAR DATA'!$AL$67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DATA'!$AM$67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FD2-444B-AD22-874F80D0F1D9}"/>
            </c:ext>
          </c:extLst>
        </c:ser>
        <c:ser>
          <c:idx val="28"/>
          <c:order val="28"/>
          <c:tx>
            <c:v>MARKER BC2</c:v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/>
            </c:spPr>
          </c:marker>
          <c:xVal>
            <c:numRef>
              <c:f>'CHAR DATA'!$AL$70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DATA'!$AM$70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FD2-444B-AD22-874F80D0F1D9}"/>
            </c:ext>
          </c:extLst>
        </c:ser>
        <c:ser>
          <c:idx val="29"/>
          <c:order val="29"/>
          <c:tx>
            <c:v>MARKER CA2</c:v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/>
            </c:spPr>
          </c:marker>
          <c:xVal>
            <c:numRef>
              <c:f>'CHAR DATA'!$AL$73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FD2-444B-AD22-874F80D0F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931904"/>
        <c:axId val="880931248"/>
      </c:scatterChart>
      <c:valAx>
        <c:axId val="88093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248"/>
        <c:crosses val="autoZero"/>
        <c:crossBetween val="midCat"/>
      </c:valAx>
      <c:valAx>
        <c:axId val="880931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solidFill>
        <a:schemeClr val="bg1"/>
      </a:solidFill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4243051524625E-2"/>
          <c:y val="2.1189304461942258E-2"/>
          <c:w val="0.93668010886394304"/>
          <c:h val="0.95762139107611544"/>
        </c:manualLayout>
      </c:layout>
      <c:scatterChart>
        <c:scatterStyle val="smoothMarker"/>
        <c:varyColors val="0"/>
        <c:ser>
          <c:idx val="1"/>
          <c:order val="0"/>
          <c:tx>
            <c:v>Reach Z1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DATA'!$S$14:$S$15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DATA'!$T$14:$T$15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16-4B8A-82C9-229F70D70B9B}"/>
            </c:ext>
          </c:extLst>
        </c:ser>
        <c:ser>
          <c:idx val="2"/>
          <c:order val="1"/>
          <c:tx>
            <c:v>Atas Kanan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DATA'!$S$17:$S$18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6.2280539660026051</c:v>
                </c:pt>
              </c:numCache>
            </c:numRef>
          </c:xVal>
          <c:yVal>
            <c:numRef>
              <c:f>'CHAR DATA'!$T$17:$T$18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16-4B8A-82C9-229F70D70B9B}"/>
            </c:ext>
          </c:extLst>
        </c:ser>
        <c:ser>
          <c:idx val="3"/>
          <c:order val="2"/>
          <c:tx>
            <c:v>Atas Kiri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DATA'!$S$20:$S$21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-1.8854460339973946</c:v>
                </c:pt>
              </c:numCache>
            </c:numRef>
          </c:xVal>
          <c:yVal>
            <c:numRef>
              <c:f>'CHAR DATA'!$T$20:$T$21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16-4B8A-82C9-229F70D70B9B}"/>
            </c:ext>
          </c:extLst>
        </c:ser>
        <c:ser>
          <c:idx val="4"/>
          <c:order val="3"/>
          <c:tx>
            <c:v>Kanan Bawah Z1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DATA'!$S$23:$S$24</c:f>
              <c:numCache>
                <c:formatCode>General</c:formatCode>
                <c:ptCount val="2"/>
                <c:pt idx="0">
                  <c:v>0</c:v>
                </c:pt>
                <c:pt idx="1">
                  <c:v>5.1771380677591363</c:v>
                </c:pt>
              </c:numCache>
            </c:numRef>
          </c:xVal>
          <c:yVal>
            <c:numRef>
              <c:f>'CHAR DATA'!$T$23:$T$24</c:f>
              <c:numCache>
                <c:formatCode>General</c:formatCode>
                <c:ptCount val="2"/>
                <c:pt idx="0">
                  <c:v>0</c:v>
                </c:pt>
                <c:pt idx="1">
                  <c:v>-1.0956191107626598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16-4B8A-82C9-229F70D70B9B}"/>
            </c:ext>
          </c:extLst>
        </c:ser>
        <c:ser>
          <c:idx val="5"/>
          <c:order val="4"/>
          <c:tx>
            <c:v>kanan samping Z1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9525" cap="rnd">
                  <a:noFill/>
                  <a:round/>
                </a:ln>
                <a:effectLst/>
              </c:spPr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F316-4B8A-82C9-229F70D70B9B}"/>
              </c:ext>
            </c:extLst>
          </c:dPt>
          <c:xVal>
            <c:numRef>
              <c:f>'CHAR DATA'!$S$26:$S$27</c:f>
              <c:numCache>
                <c:formatCode>General</c:formatCode>
                <c:ptCount val="2"/>
                <c:pt idx="0">
                  <c:v>5.1771380677591363</c:v>
                </c:pt>
                <c:pt idx="1">
                  <c:v>6.2280539660026051</c:v>
                </c:pt>
              </c:numCache>
            </c:numRef>
          </c:xVal>
          <c:yVal>
            <c:numRef>
              <c:f>'CHAR DATA'!$T$26:$T$27</c:f>
              <c:numCache>
                <c:formatCode>General</c:formatCode>
                <c:ptCount val="2"/>
                <c:pt idx="0">
                  <c:v>-1.0956191107626598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316-4B8A-82C9-229F70D70B9B}"/>
            </c:ext>
          </c:extLst>
        </c:ser>
        <c:ser>
          <c:idx val="6"/>
          <c:order val="5"/>
          <c:tx>
            <c:v>Kiri Bawah Z1</c:v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DATA'!$S$29:$S$30</c:f>
              <c:numCache>
                <c:formatCode>General</c:formatCode>
                <c:ptCount val="2"/>
                <c:pt idx="0">
                  <c:v>0</c:v>
                </c:pt>
                <c:pt idx="1">
                  <c:v>-2.5885690338795682</c:v>
                </c:pt>
              </c:numCache>
            </c:numRef>
          </c:xVal>
          <c:yVal>
            <c:numRef>
              <c:f>'CHAR DATA'!$T$29:$T$30</c:f>
              <c:numCache>
                <c:formatCode>General</c:formatCode>
                <c:ptCount val="2"/>
                <c:pt idx="0">
                  <c:v>0</c:v>
                </c:pt>
                <c:pt idx="1">
                  <c:v>0.54780955538132992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316-4B8A-82C9-229F70D70B9B}"/>
            </c:ext>
          </c:extLst>
        </c:ser>
        <c:ser>
          <c:idx val="7"/>
          <c:order val="6"/>
          <c:tx>
            <c:v>samping kiri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DATA'!$S$32:$S$33</c:f>
              <c:numCache>
                <c:formatCode>General</c:formatCode>
                <c:ptCount val="2"/>
                <c:pt idx="0">
                  <c:v>-1.8854460339973946</c:v>
                </c:pt>
                <c:pt idx="1">
                  <c:v>-2.5885690338795682</c:v>
                </c:pt>
              </c:numCache>
            </c:numRef>
          </c:xVal>
          <c:yVal>
            <c:numRef>
              <c:f>'CHAR DATA'!$T$32:$T$33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0.54780955538132992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316-4B8A-82C9-229F70D70B9B}"/>
            </c:ext>
          </c:extLst>
        </c:ser>
        <c:ser>
          <c:idx val="8"/>
          <c:order val="7"/>
          <c:tx>
            <c:v>Reach Z2</c:v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lumMod val="60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lumMod val="60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60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316-4B8A-82C9-229F70D70B9B}"/>
              </c:ext>
            </c:extLst>
          </c:dPt>
          <c:xVal>
            <c:numRef>
              <c:f>'CHAR DATA'!$X$14:$X$15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DATA'!$Y$14:$Y$15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316-4B8A-82C9-229F70D70B9B}"/>
            </c:ext>
          </c:extLst>
        </c:ser>
        <c:ser>
          <c:idx val="9"/>
          <c:order val="8"/>
          <c:tx>
            <c:v>kanan atas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DATA'!$X$17:$X$18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9.6395046460737994</c:v>
                </c:pt>
              </c:numCache>
            </c:numRef>
          </c:xVal>
          <c:yVal>
            <c:numRef>
              <c:f>'CHAR DATA'!$Y$17:$Y$18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316-4B8A-82C9-229F70D70B9B}"/>
            </c:ext>
          </c:extLst>
        </c:ser>
        <c:ser>
          <c:idx val="10"/>
          <c:order val="9"/>
          <c:tx>
            <c:v>kiri Atas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DATA'!$X$20:$X$21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-2.9184953539262009</c:v>
                </c:pt>
              </c:numCache>
            </c:numRef>
          </c:xVal>
          <c:yVal>
            <c:numRef>
              <c:f>'CHAR DATA'!$Y$20:$Y$21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316-4B8A-82C9-229F70D70B9B}"/>
            </c:ext>
          </c:extLst>
        </c:ser>
        <c:ser>
          <c:idx val="11"/>
          <c:order val="10"/>
          <c:tx>
            <c:v>kanan bawah z2</c:v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DATA'!$X$23:$X$24</c:f>
              <c:numCache>
                <c:formatCode>General</c:formatCode>
                <c:ptCount val="2"/>
                <c:pt idx="0">
                  <c:v>0</c:v>
                </c:pt>
                <c:pt idx="1">
                  <c:v>8.0131262531483625</c:v>
                </c:pt>
              </c:numCache>
            </c:numRef>
          </c:xVal>
          <c:yVal>
            <c:numRef>
              <c:f>'CHAR DATA'!$Y$23:$Y$24</c:f>
              <c:numCache>
                <c:formatCode>General</c:formatCode>
                <c:ptCount val="2"/>
                <c:pt idx="0">
                  <c:v>0</c:v>
                </c:pt>
                <c:pt idx="1">
                  <c:v>-1.6957890913856513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316-4B8A-82C9-229F70D70B9B}"/>
            </c:ext>
          </c:extLst>
        </c:ser>
        <c:ser>
          <c:idx val="12"/>
          <c:order val="11"/>
          <c:tx>
            <c:v>kanan samping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DATA'!$X$26:$X$27</c:f>
              <c:numCache>
                <c:formatCode>General</c:formatCode>
                <c:ptCount val="2"/>
                <c:pt idx="0">
                  <c:v>8.0131262531483625</c:v>
                </c:pt>
                <c:pt idx="1">
                  <c:v>9.6395046460737994</c:v>
                </c:pt>
              </c:numCache>
            </c:numRef>
          </c:xVal>
          <c:yVal>
            <c:numRef>
              <c:f>'CHAR DATA'!$Y$26:$Y$27</c:f>
              <c:numCache>
                <c:formatCode>General</c:formatCode>
                <c:ptCount val="2"/>
                <c:pt idx="0">
                  <c:v>-1.6957890913856513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316-4B8A-82C9-229F70D70B9B}"/>
            </c:ext>
          </c:extLst>
        </c:ser>
        <c:ser>
          <c:idx val="13"/>
          <c:order val="12"/>
          <c:tx>
            <c:v>kiri bawah Z2</c:v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DATA'!$X$29:$X$30</c:f>
              <c:numCache>
                <c:formatCode>General</c:formatCode>
                <c:ptCount val="2"/>
                <c:pt idx="0">
                  <c:v>0</c:v>
                </c:pt>
                <c:pt idx="1">
                  <c:v>-4.0065631265741812</c:v>
                </c:pt>
              </c:numCache>
            </c:numRef>
          </c:xVal>
          <c:yVal>
            <c:numRef>
              <c:f>'CHAR DATA'!$Y$29:$Y$30</c:f>
              <c:numCache>
                <c:formatCode>General</c:formatCode>
                <c:ptCount val="2"/>
                <c:pt idx="0">
                  <c:v>0</c:v>
                </c:pt>
                <c:pt idx="1">
                  <c:v>0.84789454569282563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316-4B8A-82C9-229F70D70B9B}"/>
            </c:ext>
          </c:extLst>
        </c:ser>
        <c:ser>
          <c:idx val="14"/>
          <c:order val="13"/>
          <c:tx>
            <c:v>kiri samping z2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DATA'!$X$32:$X$33</c:f>
              <c:numCache>
                <c:formatCode>General</c:formatCode>
                <c:ptCount val="2"/>
                <c:pt idx="0">
                  <c:v>-2.9184953539262009</c:v>
                </c:pt>
                <c:pt idx="1">
                  <c:v>-4.0065631265741812</c:v>
                </c:pt>
              </c:numCache>
            </c:numRef>
          </c:xVal>
          <c:yVal>
            <c:numRef>
              <c:f>'CHAR DATA'!$Y$32:$Y$33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0.84789454569282563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F316-4B8A-82C9-229F70D70B9B}"/>
            </c:ext>
          </c:extLst>
        </c:ser>
        <c:ser>
          <c:idx val="15"/>
          <c:order val="14"/>
          <c:tx>
            <c:v>Reach Z3</c:v>
          </c:tx>
          <c:spPr>
            <a:ln w="2540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9525" cap="rnd">
                  <a:noFill/>
                  <a:round/>
                </a:ln>
                <a:effectLst/>
              </c:spPr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F316-4B8A-82C9-229F70D70B9B}"/>
              </c:ext>
            </c:extLst>
          </c:dPt>
          <c:xVal>
            <c:numRef>
              <c:f>'CHAR DATA'!$AB$14:$AB$15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DATA'!$AC$14:$AC$15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316-4B8A-82C9-229F70D70B9B}"/>
            </c:ext>
          </c:extLst>
        </c:ser>
        <c:ser>
          <c:idx val="16"/>
          <c:order val="15"/>
          <c:tx>
            <c:v>kanan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DATA'!$AB$17:$AB$18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12.77445408558677</c:v>
                </c:pt>
              </c:numCache>
            </c:numRef>
          </c:xVal>
          <c:yVal>
            <c:numRef>
              <c:f>'CHAR DATA'!$AC$17:$AC$18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316-4B8A-82C9-229F70D70B9B}"/>
            </c:ext>
          </c:extLst>
        </c:ser>
        <c:ser>
          <c:idx val="17"/>
          <c:order val="16"/>
          <c:tx>
            <c:v>kiri atas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DATA'!$AB$20:$AB$21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-3.8530459144132312</c:v>
                </c:pt>
              </c:numCache>
            </c:numRef>
          </c:xVal>
          <c:yVal>
            <c:numRef>
              <c:f>'CHAR DATA'!$AC$20:$AC$21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316-4B8A-82C9-229F70D70B9B}"/>
            </c:ext>
          </c:extLst>
        </c:ser>
        <c:ser>
          <c:idx val="18"/>
          <c:order val="17"/>
          <c:tx>
            <c:v>kanan bawah Z1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DATA'!$AB$23:$AB$24</c:f>
              <c:numCache>
                <c:formatCode>General</c:formatCode>
                <c:ptCount val="2"/>
                <c:pt idx="0">
                  <c:v>0</c:v>
                </c:pt>
                <c:pt idx="1">
                  <c:v>10.609830926439274</c:v>
                </c:pt>
              </c:numCache>
            </c:numRef>
          </c:xVal>
          <c:yVal>
            <c:numRef>
              <c:f>'CHAR DATA'!$AC$23:$AC$24</c:f>
              <c:numCache>
                <c:formatCode>General</c:formatCode>
                <c:ptCount val="2"/>
                <c:pt idx="0">
                  <c:v>0</c:v>
                </c:pt>
                <c:pt idx="1">
                  <c:v>-2.2453203628774427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316-4B8A-82C9-229F70D70B9B}"/>
            </c:ext>
          </c:extLst>
        </c:ser>
        <c:ser>
          <c:idx val="19"/>
          <c:order val="18"/>
          <c:tx>
            <c:v>Kanan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DATA'!$AB$26:$AB$27</c:f>
              <c:numCache>
                <c:formatCode>General</c:formatCode>
                <c:ptCount val="2"/>
                <c:pt idx="0">
                  <c:v>10.609830926439274</c:v>
                </c:pt>
                <c:pt idx="1">
                  <c:v>12.77445408558677</c:v>
                </c:pt>
              </c:numCache>
            </c:numRef>
          </c:xVal>
          <c:yVal>
            <c:numRef>
              <c:f>'CHAR DATA'!$AC$26:$AC$27</c:f>
              <c:numCache>
                <c:formatCode>General</c:formatCode>
                <c:ptCount val="2"/>
                <c:pt idx="0">
                  <c:v>-2.2453203628774427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316-4B8A-82C9-229F70D70B9B}"/>
            </c:ext>
          </c:extLst>
        </c:ser>
        <c:ser>
          <c:idx val="20"/>
          <c:order val="19"/>
          <c:tx>
            <c:v>kiri bawah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9525" cap="rnd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F316-4B8A-82C9-229F70D70B9B}"/>
              </c:ext>
            </c:extLst>
          </c:dPt>
          <c:xVal>
            <c:numRef>
              <c:f>'CHAR DATA'!$AB$29:$AB$30</c:f>
              <c:numCache>
                <c:formatCode>General</c:formatCode>
                <c:ptCount val="2"/>
                <c:pt idx="0">
                  <c:v>0</c:v>
                </c:pt>
                <c:pt idx="1">
                  <c:v>-5.3049154632196371</c:v>
                </c:pt>
              </c:numCache>
            </c:numRef>
          </c:xVal>
          <c:yVal>
            <c:numRef>
              <c:f>'CHAR DATA'!$AC$29:$AC$30</c:f>
              <c:numCache>
                <c:formatCode>General</c:formatCode>
                <c:ptCount val="2"/>
                <c:pt idx="0">
                  <c:v>0</c:v>
                </c:pt>
                <c:pt idx="1">
                  <c:v>1.1226601814387214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316-4B8A-82C9-229F70D70B9B}"/>
            </c:ext>
          </c:extLst>
        </c:ser>
        <c:ser>
          <c:idx val="21"/>
          <c:order val="20"/>
          <c:tx>
            <c:v>kiri samping z3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/>
            </c:spPr>
          </c:marker>
          <c:xVal>
            <c:numRef>
              <c:f>'CHAR DATA'!$AB$32:$AB$33</c:f>
              <c:numCache>
                <c:formatCode>General</c:formatCode>
                <c:ptCount val="2"/>
                <c:pt idx="0">
                  <c:v>-3.8530459144132312</c:v>
                </c:pt>
                <c:pt idx="1">
                  <c:v>-5.3049154632196371</c:v>
                </c:pt>
              </c:numCache>
            </c:numRef>
          </c:xVal>
          <c:yVal>
            <c:numRef>
              <c:f>'CHAR DATA'!$AC$32:$AC$33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1.1226601814387214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316-4B8A-82C9-229F70D70B9B}"/>
            </c:ext>
          </c:extLst>
        </c:ser>
        <c:ser>
          <c:idx val="22"/>
          <c:order val="21"/>
          <c:tx>
            <c:v>marker AB</c:v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DATA'!$AC$67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DATA'!$AD$67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316-4B8A-82C9-229F70D70B9B}"/>
            </c:ext>
          </c:extLst>
        </c:ser>
        <c:ser>
          <c:idx val="0"/>
          <c:order val="22"/>
          <c:tx>
            <c:v>imp AB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316-4B8A-82C9-229F70D70B9B}"/>
            </c:ext>
          </c:extLst>
        </c:ser>
        <c:ser>
          <c:idx val="23"/>
          <c:order val="23"/>
          <c:tx>
            <c:v>IMP BC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 cap="rnd">
                <a:solidFill>
                  <a:srgbClr val="FFC000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316-4B8A-82C9-229F70D70B9B}"/>
            </c:ext>
          </c:extLst>
        </c:ser>
        <c:ser>
          <c:idx val="24"/>
          <c:order val="24"/>
          <c:tx>
            <c:v>IMP CA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316-4B8A-82C9-229F70D70B9B}"/>
            </c:ext>
          </c:extLst>
        </c:ser>
        <c:ser>
          <c:idx val="25"/>
          <c:order val="25"/>
          <c:tx>
            <c:v>MARKER BC</c:v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DATA'!$AC$70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DATA'!$AD$70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316-4B8A-82C9-229F70D70B9B}"/>
            </c:ext>
          </c:extLst>
        </c:ser>
        <c:ser>
          <c:idx val="26"/>
          <c:order val="26"/>
          <c:tx>
            <c:v>MARKER CA</c:v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plus"/>
            <c:size val="30"/>
            <c:spPr>
              <a:noFill/>
              <a:ln w="25400" cap="rnd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'CHAR DATA'!$AC$73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DATA'!$AD$73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316-4B8A-82C9-229F70D70B9B}"/>
            </c:ext>
          </c:extLst>
        </c:ser>
        <c:ser>
          <c:idx val="27"/>
          <c:order val="27"/>
          <c:tx>
            <c:v>MARKER AB2</c:v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/>
            </c:spPr>
          </c:marker>
          <c:xVal>
            <c:numRef>
              <c:f>'CHAR DATA'!$AL$67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DATA'!$AM$67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F316-4B8A-82C9-229F70D70B9B}"/>
            </c:ext>
          </c:extLst>
        </c:ser>
        <c:ser>
          <c:idx val="28"/>
          <c:order val="28"/>
          <c:tx>
            <c:v>MARKER BC2</c:v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DATA'!$AL$70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DATA'!$AM$70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F316-4B8A-82C9-229F70D70B9B}"/>
            </c:ext>
          </c:extLst>
        </c:ser>
        <c:ser>
          <c:idx val="29"/>
          <c:order val="29"/>
          <c:tx>
            <c:v>MARKER CA2</c:v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x"/>
            <c:size val="25"/>
            <c:spPr>
              <a:noFill/>
              <a:ln w="19050" cap="rnd">
                <a:solidFill>
                  <a:srgbClr val="00B0F0"/>
                </a:solidFill>
                <a:round/>
              </a:ln>
              <a:effectLst/>
            </c:spPr>
          </c:marker>
          <c:xVal>
            <c:numRef>
              <c:f>'CHAR DATA'!$AL$73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'CHAR DATA'!$AM$73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F316-4B8A-82C9-229F70D70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931904"/>
        <c:axId val="880931248"/>
      </c:scatterChart>
      <c:valAx>
        <c:axId val="880931904"/>
        <c:scaling>
          <c:orientation val="minMax"/>
          <c:max val="77"/>
          <c:min val="-38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248"/>
        <c:crosses val="autoZero"/>
        <c:crossBetween val="midCat"/>
      </c:valAx>
      <c:valAx>
        <c:axId val="880931248"/>
        <c:scaling>
          <c:orientation val="minMax"/>
          <c:max val="77"/>
          <c:min val="-38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alpha val="25000"/>
      </a:schemeClr>
    </a:solidFill>
    <a:ln>
      <a:solidFill>
        <a:schemeClr val="bg1"/>
      </a:solidFill>
    </a:ln>
    <a:effectLst>
      <a:softEdge rad="31750"/>
    </a:effectLst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VR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'scroll sinusoidal data'!$B$4:$B$404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'scroll sinusoidal data'!$C$4:$C$404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70-481C-B49E-936034556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475024"/>
        <c:axId val="598478960"/>
      </c:scatterChart>
      <c:valAx>
        <c:axId val="59847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78960"/>
        <c:crosses val="autoZero"/>
        <c:crossBetween val="midCat"/>
      </c:valAx>
      <c:valAx>
        <c:axId val="59847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7502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D"/>
              <a:t>Phase to Phase CA Fault locus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55669487328584E-2"/>
          <c:y val="7.3238846787992307E-2"/>
          <c:w val="0.95762199420123295"/>
          <c:h val="0.90395123466916005"/>
        </c:manualLayout>
      </c:layout>
      <c:scatterChart>
        <c:scatterStyle val="smoothMarker"/>
        <c:varyColors val="0"/>
        <c:ser>
          <c:idx val="1"/>
          <c:order val="0"/>
          <c:tx>
            <c:v>Reach Z1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DATA'!$D$14:$D$15</c:f>
              <c:numCache>
                <c:formatCode>General</c:formatCode>
                <c:ptCount val="2"/>
                <c:pt idx="0">
                  <c:v>0</c:v>
                </c:pt>
                <c:pt idx="1">
                  <c:v>0.81905396600260527</c:v>
                </c:pt>
              </c:numCache>
            </c:numRef>
          </c:xVal>
          <c:yVal>
            <c:numRef>
              <c:f>'CHAR DATA'!$E$14:$E$15</c:f>
              <c:numCache>
                <c:formatCode>General</c:formatCode>
                <c:ptCount val="2"/>
                <c:pt idx="0">
                  <c:v>0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51-4FFC-8C6E-AAC5CA11ADC4}"/>
            </c:ext>
          </c:extLst>
        </c:ser>
        <c:ser>
          <c:idx val="2"/>
          <c:order val="1"/>
          <c:tx>
            <c:v>Atas Kanan Z1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DATA'!$D$17:$D$18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DATA'!$E$17:$E$18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51-4FFC-8C6E-AAC5CA11ADC4}"/>
            </c:ext>
          </c:extLst>
        </c:ser>
        <c:ser>
          <c:idx val="3"/>
          <c:order val="2"/>
          <c:tx>
            <c:v>Atas Kiri Z1</c:v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DATA'!$D$20:$D$21</c:f>
              <c:numCache>
                <c:formatCode>General</c:formatCode>
                <c:ptCount val="2"/>
                <c:pt idx="0">
                  <c:v>0.81905396600260527</c:v>
                </c:pt>
                <c:pt idx="1">
                  <c:v>-6.5709460339973944</c:v>
                </c:pt>
              </c:numCache>
            </c:numRef>
          </c:xVal>
          <c:yVal>
            <c:numRef>
              <c:f>'CHAR DATA'!$E$20:$E$21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51-4FFC-8C6E-AAC5CA11ADC4}"/>
            </c:ext>
          </c:extLst>
        </c:ser>
        <c:ser>
          <c:idx val="4"/>
          <c:order val="3"/>
          <c:tx>
            <c:v>Kanan Bawah Z1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DATA'!$D$23:$D$24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DATA'!$E$23:$E$24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51-4FFC-8C6E-AAC5CA11ADC4}"/>
            </c:ext>
          </c:extLst>
        </c:ser>
        <c:ser>
          <c:idx val="5"/>
          <c:order val="4"/>
          <c:tx>
            <c:v>kanan samping Z1</c:v>
          </c:tx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DATA'!$D$26:$D$27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15.599053966002604</c:v>
                </c:pt>
              </c:numCache>
            </c:numRef>
          </c:xVal>
          <c:yVal>
            <c:numRef>
              <c:f>'CHAR DATA'!$E$26:$E$27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3.8702824962495184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51-4FFC-8C6E-AAC5CA11ADC4}"/>
            </c:ext>
          </c:extLst>
        </c:ser>
        <c:ser>
          <c:idx val="6"/>
          <c:order val="5"/>
          <c:tx>
            <c:v>Kiri Bawah Z1</c:v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DATA'!$D$29:$D$30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DATA'!$E$29:$E$30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D51-4FFC-8C6E-AAC5CA11ADC4}"/>
            </c:ext>
          </c:extLst>
        </c:ser>
        <c:ser>
          <c:idx val="7"/>
          <c:order val="6"/>
          <c:tx>
            <c:v>samping kiri Z1</c:v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DATA'!$D$32:$D$33</c:f>
              <c:numCache>
                <c:formatCode>General</c:formatCode>
                <c:ptCount val="2"/>
                <c:pt idx="0">
                  <c:v>-6.5709460339973944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DATA'!$E$32:$E$33</c:f>
              <c:numCache>
                <c:formatCode>General</c:formatCode>
                <c:ptCount val="2"/>
                <c:pt idx="0">
                  <c:v>3.8702824962495184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D51-4FFC-8C6E-AAC5CA11ADC4}"/>
            </c:ext>
          </c:extLst>
        </c:ser>
        <c:ser>
          <c:idx val="8"/>
          <c:order val="7"/>
          <c:tx>
            <c:v>Reach Z2</c:v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lumMod val="60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lumMod val="60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60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2D51-4FFC-8C6E-AAC5CA11ADC4}"/>
              </c:ext>
            </c:extLst>
          </c:dPt>
          <c:xVal>
            <c:numRef>
              <c:f>'CHAR DATA'!$I$14:$I$15</c:f>
              <c:numCache>
                <c:formatCode>General</c:formatCode>
                <c:ptCount val="2"/>
                <c:pt idx="0">
                  <c:v>0</c:v>
                </c:pt>
                <c:pt idx="1">
                  <c:v>1.2675046460737991</c:v>
                </c:pt>
              </c:numCache>
            </c:numRef>
          </c:xVal>
          <c:yVal>
            <c:numRef>
              <c:f>'CHAR DATA'!$J$14:$J$15</c:f>
              <c:numCache>
                <c:formatCode>General</c:formatCode>
                <c:ptCount val="2"/>
                <c:pt idx="0">
                  <c:v>0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D51-4FFC-8C6E-AAC5CA11ADC4}"/>
            </c:ext>
          </c:extLst>
        </c:ser>
        <c:ser>
          <c:idx val="9"/>
          <c:order val="8"/>
          <c:tx>
            <c:v>kanan atas Z2</c:v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DATA'!$I$17:$I$18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DATA'!$J$17:$J$18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D51-4FFC-8C6E-AAC5CA11ADC4}"/>
            </c:ext>
          </c:extLst>
        </c:ser>
        <c:ser>
          <c:idx val="10"/>
          <c:order val="9"/>
          <c:tx>
            <c:v>kiri Atas Z2</c:v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DATA'!$I$20:$I$21</c:f>
              <c:numCache>
                <c:formatCode>General</c:formatCode>
                <c:ptCount val="2"/>
                <c:pt idx="0">
                  <c:v>1.2675046460737991</c:v>
                </c:pt>
                <c:pt idx="1">
                  <c:v>-6.122495353926201</c:v>
                </c:pt>
              </c:numCache>
            </c:numRef>
          </c:xVal>
          <c:yVal>
            <c:numRef>
              <c:f>'CHAR DATA'!$J$20:$J$21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D51-4FFC-8C6E-AAC5CA11ADC4}"/>
            </c:ext>
          </c:extLst>
        </c:ser>
        <c:ser>
          <c:idx val="11"/>
          <c:order val="10"/>
          <c:tx>
            <c:v>kanan bawah z2</c:v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DATA'!$I$23:$I$24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DATA'!$J$23:$J$24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D51-4FFC-8C6E-AAC5CA11ADC4}"/>
            </c:ext>
          </c:extLst>
        </c:ser>
        <c:ser>
          <c:idx val="12"/>
          <c:order val="11"/>
          <c:tx>
            <c:v>kanan samping Z2</c:v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DATA'!$I$26:$I$27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16.047504646073797</c:v>
                </c:pt>
              </c:numCache>
            </c:numRef>
          </c:xVal>
          <c:yVal>
            <c:numRef>
              <c:f>'CHAR DATA'!$J$26:$J$27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5.9893502128512512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D51-4FFC-8C6E-AAC5CA11ADC4}"/>
            </c:ext>
          </c:extLst>
        </c:ser>
        <c:ser>
          <c:idx val="13"/>
          <c:order val="12"/>
          <c:tx>
            <c:v>kiri bawah Z2</c:v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DATA'!$I$29:$I$30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DATA'!$J$29:$J$30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D51-4FFC-8C6E-AAC5CA11ADC4}"/>
            </c:ext>
          </c:extLst>
        </c:ser>
        <c:ser>
          <c:idx val="14"/>
          <c:order val="13"/>
          <c:tx>
            <c:v>kiri samping z2</c:v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DATA'!$I$32:$I$33</c:f>
              <c:numCache>
                <c:formatCode>General</c:formatCode>
                <c:ptCount val="2"/>
                <c:pt idx="0">
                  <c:v>-6.122495353926201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DATA'!$J$32:$J$33</c:f>
              <c:numCache>
                <c:formatCode>General</c:formatCode>
                <c:ptCount val="2"/>
                <c:pt idx="0">
                  <c:v>5.9893502128512512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D51-4FFC-8C6E-AAC5CA11ADC4}"/>
            </c:ext>
          </c:extLst>
        </c:ser>
        <c:ser>
          <c:idx val="15"/>
          <c:order val="14"/>
          <c:tx>
            <c:v>Reach Z3</c:v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DATA'!$M$14:$M$15</c:f>
              <c:numCache>
                <c:formatCode>General</c:formatCode>
                <c:ptCount val="2"/>
                <c:pt idx="0">
                  <c:v>0</c:v>
                </c:pt>
                <c:pt idx="1">
                  <c:v>1.6894540855867692</c:v>
                </c:pt>
              </c:numCache>
            </c:numRef>
          </c:xVal>
          <c:yVal>
            <c:numRef>
              <c:f>'CHAR DATA'!$N$14:$N$15</c:f>
              <c:numCache>
                <c:formatCode>General</c:formatCode>
                <c:ptCount val="2"/>
                <c:pt idx="0">
                  <c:v>0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D51-4FFC-8C6E-AAC5CA11ADC4}"/>
            </c:ext>
          </c:extLst>
        </c:ser>
        <c:ser>
          <c:idx val="16"/>
          <c:order val="15"/>
          <c:tx>
            <c:v>kanan atas Z3</c:v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DATA'!$M$17:$M$18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DATA'!$N$17:$N$18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D51-4FFC-8C6E-AAC5CA11ADC4}"/>
            </c:ext>
          </c:extLst>
        </c:ser>
        <c:ser>
          <c:idx val="17"/>
          <c:order val="16"/>
          <c:tx>
            <c:v>kiri atas Z3</c:v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DATA'!$M$20:$M$21</c:f>
              <c:numCache>
                <c:formatCode>General</c:formatCode>
                <c:ptCount val="2"/>
                <c:pt idx="0">
                  <c:v>1.6894540855867692</c:v>
                </c:pt>
                <c:pt idx="1">
                  <c:v>-5.7005459144132304</c:v>
                </c:pt>
              </c:numCache>
            </c:numRef>
          </c:xVal>
          <c:yVal>
            <c:numRef>
              <c:f>'CHAR DATA'!$N$20:$N$21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D51-4FFC-8C6E-AAC5CA11ADC4}"/>
            </c:ext>
          </c:extLst>
        </c:ser>
        <c:ser>
          <c:idx val="18"/>
          <c:order val="17"/>
          <c:tx>
            <c:v>kanan bawah Z1</c:v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DATA'!$M$23:$M$24</c:f>
              <c:numCache>
                <c:formatCode>General</c:formatCode>
                <c:ptCount val="2"/>
                <c:pt idx="0">
                  <c:v>0</c:v>
                </c:pt>
                <c:pt idx="1">
                  <c:v>14.146441235252365</c:v>
                </c:pt>
              </c:numCache>
            </c:numRef>
          </c:xVal>
          <c:yVal>
            <c:numRef>
              <c:f>'CHAR DATA'!$N$23:$N$24</c:f>
              <c:numCache>
                <c:formatCode>General</c:formatCode>
                <c:ptCount val="2"/>
                <c:pt idx="0">
                  <c:v>0</c:v>
                </c:pt>
                <c:pt idx="1">
                  <c:v>-2.9937604838365894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D51-4FFC-8C6E-AAC5CA11ADC4}"/>
            </c:ext>
          </c:extLst>
        </c:ser>
        <c:ser>
          <c:idx val="19"/>
          <c:order val="18"/>
          <c:tx>
            <c:v>Kanan samping Z3</c:v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DATA'!$M$26:$M$27</c:f>
              <c:numCache>
                <c:formatCode>General</c:formatCode>
                <c:ptCount val="2"/>
                <c:pt idx="0">
                  <c:v>14.146441235252365</c:v>
                </c:pt>
                <c:pt idx="1">
                  <c:v>16.469454085586769</c:v>
                </c:pt>
              </c:numCache>
            </c:numRef>
          </c:xVal>
          <c:yVal>
            <c:numRef>
              <c:f>'CHAR DATA'!$N$26:$N$27</c:f>
              <c:numCache>
                <c:formatCode>General</c:formatCode>
                <c:ptCount val="2"/>
                <c:pt idx="0">
                  <c:v>-2.9937604838365894</c:v>
                </c:pt>
                <c:pt idx="1">
                  <c:v>7.9831913977239815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D51-4FFC-8C6E-AAC5CA11ADC4}"/>
            </c:ext>
          </c:extLst>
        </c:ser>
        <c:ser>
          <c:idx val="20"/>
          <c:order val="19"/>
          <c:tx>
            <c:v>kiri bawah Z3</c:v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gradFill rotWithShape="1">
                  <a:gsLst>
                    <a:gs pos="0">
                      <a:schemeClr val="accent3">
                        <a:lumMod val="80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3">
                        <a:lumMod val="80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3">
                        <a:lumMod val="80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3">
                      <a:lumMod val="8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2D51-4FFC-8C6E-AAC5CA11ADC4}"/>
              </c:ext>
            </c:extLst>
          </c:dPt>
          <c:xVal>
            <c:numRef>
              <c:f>'CHAR DATA'!$M$29:$M$30</c:f>
              <c:numCache>
                <c:formatCode>General</c:formatCode>
                <c:ptCount val="2"/>
                <c:pt idx="0">
                  <c:v>0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DATA'!$N$29:$N$30</c:f>
              <c:numCache>
                <c:formatCode>General</c:formatCode>
                <c:ptCount val="2"/>
                <c:pt idx="0">
                  <c:v>0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2D51-4FFC-8C6E-AAC5CA11ADC4}"/>
            </c:ext>
          </c:extLst>
        </c:ser>
        <c:ser>
          <c:idx val="21"/>
          <c:order val="20"/>
          <c:tx>
            <c:v>kiri samping z3</c:v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'CHAR DATA'!$M$32:$M$33</c:f>
              <c:numCache>
                <c:formatCode>General</c:formatCode>
                <c:ptCount val="2"/>
                <c:pt idx="0">
                  <c:v>-5.7005459144132304</c:v>
                </c:pt>
                <c:pt idx="1">
                  <c:v>-7.0732206176261823</c:v>
                </c:pt>
              </c:numCache>
            </c:numRef>
          </c:xVal>
          <c:yVal>
            <c:numRef>
              <c:f>'CHAR DATA'!$N$32:$N$33</c:f>
              <c:numCache>
                <c:formatCode>General</c:formatCode>
                <c:ptCount val="2"/>
                <c:pt idx="0">
                  <c:v>7.9831913977239815</c:v>
                </c:pt>
                <c:pt idx="1">
                  <c:v>1.4968802419182947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2D51-4FFC-8C6E-AAC5CA11ADC4}"/>
            </c:ext>
          </c:extLst>
        </c:ser>
        <c:ser>
          <c:idx val="0"/>
          <c:order val="21"/>
          <c:tx>
            <c:v>imp CA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D51-4FFC-8C6E-AAC5CA11A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931904"/>
        <c:axId val="880931248"/>
      </c:scatterChart>
      <c:valAx>
        <c:axId val="880931904"/>
        <c:scaling>
          <c:orientation val="minMax"/>
          <c:max val="150"/>
          <c:min val="-1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248"/>
        <c:crosses val="autoZero"/>
        <c:crossBetween val="midCat"/>
      </c:valAx>
      <c:valAx>
        <c:axId val="880931248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93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22" fmlaLink="$M$2" horiz="1" max="3600" min="1" page="0" val="2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381000</xdr:colOff>
      <xdr:row>1</xdr:row>
      <xdr:rowOff>47624</xdr:rowOff>
    </xdr:from>
    <xdr:to>
      <xdr:col>29</xdr:col>
      <xdr:colOff>555878</xdr:colOff>
      <xdr:row>15</xdr:row>
      <xdr:rowOff>238124</xdr:rowOff>
    </xdr:to>
    <xdr:graphicFrame macro="">
      <xdr:nvGraphicFramePr>
        <xdr:cNvPr id="11" name="Chart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57149</xdr:colOff>
      <xdr:row>1</xdr:row>
      <xdr:rowOff>57151</xdr:rowOff>
    </xdr:from>
    <xdr:to>
      <xdr:col>19</xdr:col>
      <xdr:colOff>361949</xdr:colOff>
      <xdr:row>16</xdr:row>
      <xdr:rowOff>1</xdr:rowOff>
    </xdr:to>
    <xdr:graphicFrame macro="">
      <xdr:nvGraphicFramePr>
        <xdr:cNvPr id="12" name="Chart 17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8</xdr:row>
          <xdr:rowOff>19050</xdr:rowOff>
        </xdr:from>
        <xdr:to>
          <xdr:col>7</xdr:col>
          <xdr:colOff>209550</xdr:colOff>
          <xdr:row>8</xdr:row>
          <xdr:rowOff>247650</xdr:rowOff>
        </xdr:to>
        <xdr:sp macro="" textlink="">
          <xdr:nvSpPr>
            <xdr:cNvPr id="15361" name="PHASE_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8</xdr:row>
          <xdr:rowOff>19050</xdr:rowOff>
        </xdr:from>
        <xdr:to>
          <xdr:col>8</xdr:col>
          <xdr:colOff>361950</xdr:colOff>
          <xdr:row>8</xdr:row>
          <xdr:rowOff>247650</xdr:rowOff>
        </xdr:to>
        <xdr:sp macro="" textlink="">
          <xdr:nvSpPr>
            <xdr:cNvPr id="15364" name="PHASE_S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8</xdr:row>
          <xdr:rowOff>19050</xdr:rowOff>
        </xdr:from>
        <xdr:to>
          <xdr:col>9</xdr:col>
          <xdr:colOff>542925</xdr:colOff>
          <xdr:row>8</xdr:row>
          <xdr:rowOff>247650</xdr:rowOff>
        </xdr:to>
        <xdr:sp macro="" textlink="">
          <xdr:nvSpPr>
            <xdr:cNvPr id="15365" name="PHASE_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371475</xdr:colOff>
      <xdr:row>16</xdr:row>
      <xdr:rowOff>0</xdr:rowOff>
    </xdr:from>
    <xdr:to>
      <xdr:col>29</xdr:col>
      <xdr:colOff>548259</xdr:colOff>
      <xdr:row>30</xdr:row>
      <xdr:rowOff>190500</xdr:rowOff>
    </xdr:to>
    <xdr:graphicFrame macro="">
      <xdr:nvGraphicFramePr>
        <xdr:cNvPr id="7" name="Chart 1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57150</xdr:colOff>
      <xdr:row>16</xdr:row>
      <xdr:rowOff>9525</xdr:rowOff>
    </xdr:from>
    <xdr:to>
      <xdr:col>19</xdr:col>
      <xdr:colOff>361950</xdr:colOff>
      <xdr:row>30</xdr:row>
      <xdr:rowOff>200025</xdr:rowOff>
    </xdr:to>
    <xdr:graphicFrame macro="">
      <xdr:nvGraphicFramePr>
        <xdr:cNvPr id="8" name="Chart 1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85725</xdr:colOff>
      <xdr:row>1</xdr:row>
      <xdr:rowOff>47625</xdr:rowOff>
    </xdr:from>
    <xdr:to>
      <xdr:col>29</xdr:col>
      <xdr:colOff>438150</xdr:colOff>
      <xdr:row>2</xdr:row>
      <xdr:rowOff>120996</xdr:rowOff>
    </xdr:to>
    <xdr:grpSp>
      <xdr:nvGrpSpPr>
        <xdr:cNvPr id="35" name="Gr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6705600" y="295275"/>
          <a:ext cx="10715625" cy="321021"/>
          <a:chOff x="6743700" y="8277225"/>
          <a:chExt cx="10715625" cy="321021"/>
        </a:xfrm>
      </xdr:grpSpPr>
      <xdr:grpSp>
        <xdr:nvGrpSpPr>
          <xdr:cNvPr id="24" name="Grup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6743700" y="8277225"/>
            <a:ext cx="1276350" cy="321021"/>
            <a:chOff x="6781800" y="8067675"/>
            <a:chExt cx="1276350" cy="321021"/>
          </a:xfrm>
        </xdr:grpSpPr>
        <xdr:grpSp>
          <xdr:nvGrpSpPr>
            <xdr:cNvPr id="22" name="Grup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6781800" y="8067675"/>
              <a:ext cx="1276350" cy="320040"/>
              <a:chOff x="6743700" y="7743825"/>
              <a:chExt cx="1276350" cy="320040"/>
            </a:xfrm>
          </xdr:grpSpPr>
          <xdr:sp macro="" textlink="">
            <xdr:nvSpPr>
              <xdr:cNvPr id="13" name="Persegi Panjang 12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SpPr/>
            </xdr:nvSpPr>
            <xdr:spPr>
              <a:xfrm>
                <a:off x="6743700" y="7743825"/>
                <a:ext cx="714375" cy="320040"/>
              </a:xfrm>
              <a:prstGeom prst="rect">
                <a:avLst/>
              </a:prstGeom>
              <a:solidFill>
                <a:schemeClr val="tx2"/>
              </a:solidFill>
              <a:ln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16" name="Trapesium 15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SpPr/>
            </xdr:nvSpPr>
            <xdr:spPr>
              <a:xfrm flipV="1">
                <a:off x="7010400" y="7743825"/>
                <a:ext cx="1009650" cy="320040"/>
              </a:xfrm>
              <a:prstGeom prst="trapezoid">
                <a:avLst>
                  <a:gd name="adj" fmla="val 71667"/>
                </a:avLst>
              </a:prstGeom>
              <a:solidFill>
                <a:schemeClr val="tx2"/>
              </a:solidFill>
              <a:ln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</xdr:grpSp>
        <xdr:sp macro="" textlink="">
          <xdr:nvSpPr>
            <xdr:cNvPr id="23" name="Kotak Teks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 txBox="1"/>
          </xdr:nvSpPr>
          <xdr:spPr>
            <a:xfrm>
              <a:off x="6972300" y="8077200"/>
              <a:ext cx="794192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400" b="1">
                  <a:solidFill>
                    <a:schemeClr val="bg1"/>
                  </a:solidFill>
                </a:rPr>
                <a:t>PH-GND</a:t>
              </a:r>
              <a:endParaRPr lang="id-ID" sz="1400" b="1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34" name="Konektor Lurus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CxnSpPr/>
        </xdr:nvCxnSpPr>
        <xdr:spPr>
          <a:xfrm>
            <a:off x="7524750" y="8296275"/>
            <a:ext cx="9934575" cy="0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85725</xdr:colOff>
      <xdr:row>16</xdr:row>
      <xdr:rowOff>19050</xdr:rowOff>
    </xdr:from>
    <xdr:to>
      <xdr:col>29</xdr:col>
      <xdr:colOff>438150</xdr:colOff>
      <xdr:row>17</xdr:row>
      <xdr:rowOff>92421</xdr:rowOff>
    </xdr:to>
    <xdr:grpSp>
      <xdr:nvGrpSpPr>
        <xdr:cNvPr id="36" name="Gr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6705600" y="3981450"/>
          <a:ext cx="10715625" cy="321021"/>
          <a:chOff x="6743700" y="8277225"/>
          <a:chExt cx="10715625" cy="321021"/>
        </a:xfrm>
      </xdr:grpSpPr>
      <xdr:grpSp>
        <xdr:nvGrpSpPr>
          <xdr:cNvPr id="37" name="Gr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6743700" y="8277225"/>
            <a:ext cx="1276350" cy="321021"/>
            <a:chOff x="6781800" y="8067675"/>
            <a:chExt cx="1276350" cy="321021"/>
          </a:xfrm>
        </xdr:grpSpPr>
        <xdr:grpSp>
          <xdr:nvGrpSpPr>
            <xdr:cNvPr id="39" name="Grup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GrpSpPr/>
          </xdr:nvGrpSpPr>
          <xdr:grpSpPr>
            <a:xfrm>
              <a:off x="6781800" y="8067675"/>
              <a:ext cx="1276350" cy="320040"/>
              <a:chOff x="6743700" y="7743825"/>
              <a:chExt cx="1276350" cy="320040"/>
            </a:xfrm>
          </xdr:grpSpPr>
          <xdr:sp macro="" textlink="">
            <xdr:nvSpPr>
              <xdr:cNvPr id="41" name="Persegi Panjang 40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SpPr/>
            </xdr:nvSpPr>
            <xdr:spPr>
              <a:xfrm>
                <a:off x="6743700" y="7743825"/>
                <a:ext cx="714375" cy="320040"/>
              </a:xfrm>
              <a:prstGeom prst="rect">
                <a:avLst/>
              </a:prstGeom>
              <a:solidFill>
                <a:schemeClr val="tx2"/>
              </a:solidFill>
              <a:ln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42" name="Trapesium 41">
                <a:extLst>
                  <a:ext uri="{FF2B5EF4-FFF2-40B4-BE49-F238E27FC236}">
                    <a16:creationId xmlns:a16="http://schemas.microsoft.com/office/drawing/2014/main" id="{00000000-0008-0000-0000-00002A000000}"/>
                  </a:ext>
                </a:extLst>
              </xdr:cNvPr>
              <xdr:cNvSpPr/>
            </xdr:nvSpPr>
            <xdr:spPr>
              <a:xfrm flipV="1">
                <a:off x="7010400" y="7743825"/>
                <a:ext cx="1009650" cy="320040"/>
              </a:xfrm>
              <a:prstGeom prst="trapezoid">
                <a:avLst>
                  <a:gd name="adj" fmla="val 71667"/>
                </a:avLst>
              </a:prstGeom>
              <a:solidFill>
                <a:schemeClr val="tx2"/>
              </a:solidFill>
              <a:ln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</xdr:grpSp>
        <xdr:sp macro="" textlink="">
          <xdr:nvSpPr>
            <xdr:cNvPr id="40" name="Kotak Tek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 txBox="1"/>
          </xdr:nvSpPr>
          <xdr:spPr>
            <a:xfrm>
              <a:off x="7038975" y="8077200"/>
              <a:ext cx="657168" cy="311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400" b="1">
                  <a:solidFill>
                    <a:schemeClr val="bg1"/>
                  </a:solidFill>
                </a:rPr>
                <a:t>PH-PH</a:t>
              </a:r>
              <a:endParaRPr lang="id-ID" sz="1400" b="1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38" name="Konektor Lurus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/>
        </xdr:nvCxnSpPr>
        <xdr:spPr>
          <a:xfrm>
            <a:off x="7524750" y="8296275"/>
            <a:ext cx="9934575" cy="0"/>
          </a:xfrm>
          <a:prstGeom prst="line">
            <a:avLst/>
          </a:prstGeom>
          <a:ln w="3810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9</xdr:row>
          <xdr:rowOff>19050</xdr:rowOff>
        </xdr:from>
        <xdr:to>
          <xdr:col>7</xdr:col>
          <xdr:colOff>209550</xdr:colOff>
          <xdr:row>9</xdr:row>
          <xdr:rowOff>247650</xdr:rowOff>
        </xdr:to>
        <xdr:sp macro="" textlink="">
          <xdr:nvSpPr>
            <xdr:cNvPr id="15376" name="CheckBox1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0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9</xdr:row>
          <xdr:rowOff>19050</xdr:rowOff>
        </xdr:from>
        <xdr:to>
          <xdr:col>8</xdr:col>
          <xdr:colOff>361950</xdr:colOff>
          <xdr:row>9</xdr:row>
          <xdr:rowOff>247650</xdr:rowOff>
        </xdr:to>
        <xdr:sp macro="" textlink="">
          <xdr:nvSpPr>
            <xdr:cNvPr id="15377" name="CheckBox2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0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9</xdr:row>
          <xdr:rowOff>19050</xdr:rowOff>
        </xdr:from>
        <xdr:to>
          <xdr:col>9</xdr:col>
          <xdr:colOff>542925</xdr:colOff>
          <xdr:row>9</xdr:row>
          <xdr:rowOff>247650</xdr:rowOff>
        </xdr:to>
        <xdr:sp macro="" textlink="">
          <xdr:nvSpPr>
            <xdr:cNvPr id="15378" name="CheckBox3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0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16</xdr:row>
          <xdr:rowOff>28575</xdr:rowOff>
        </xdr:from>
        <xdr:to>
          <xdr:col>15</xdr:col>
          <xdr:colOff>180975</xdr:colOff>
          <xdr:row>17</xdr:row>
          <xdr:rowOff>57150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466724</xdr:colOff>
      <xdr:row>1</xdr:row>
      <xdr:rowOff>109537</xdr:rowOff>
    </xdr:from>
    <xdr:to>
      <xdr:col>15</xdr:col>
      <xdr:colOff>571500</xdr:colOff>
      <xdr:row>15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459450</xdr:colOff>
      <xdr:row>4</xdr:row>
      <xdr:rowOff>161363</xdr:rowOff>
    </xdr:from>
    <xdr:to>
      <xdr:col>61</xdr:col>
      <xdr:colOff>539784</xdr:colOff>
      <xdr:row>31</xdr:row>
      <xdr:rowOff>15768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65C0E-1D79-4F20-BFCA-A40915F388D3}">
  <sheetPr codeName="Lembar1">
    <tabColor theme="8"/>
  </sheetPr>
  <dimension ref="A1:AE59"/>
  <sheetViews>
    <sheetView workbookViewId="0">
      <selection activeCell="C4" sqref="C4:G4"/>
    </sheetView>
  </sheetViews>
  <sheetFormatPr defaultRowHeight="15"/>
  <cols>
    <col min="1" max="1" width="5.5703125" style="25" customWidth="1"/>
    <col min="2" max="2" width="10.85546875" customWidth="1"/>
    <col min="12" max="12" width="0.5703125" customWidth="1"/>
    <col min="31" max="31" width="9.140625" style="25"/>
  </cols>
  <sheetData>
    <row r="1" spans="1:30" s="25" customFormat="1" ht="20.100000000000001" customHeight="1" thickBot="1"/>
    <row r="2" spans="1:30" ht="20.100000000000001" customHeight="1" thickTop="1">
      <c r="B2" s="64" t="s">
        <v>72</v>
      </c>
      <c r="C2" s="65"/>
      <c r="D2" s="65"/>
      <c r="E2" s="65"/>
      <c r="F2" s="65"/>
      <c r="G2" s="65"/>
      <c r="H2" s="65"/>
      <c r="I2" s="65"/>
      <c r="J2" s="65"/>
      <c r="K2" s="66"/>
      <c r="L2" s="29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1"/>
    </row>
    <row r="3" spans="1:30" ht="20.100000000000001" customHeight="1" thickBot="1">
      <c r="B3" s="67"/>
      <c r="C3" s="68"/>
      <c r="D3" s="68"/>
      <c r="E3" s="68"/>
      <c r="F3" s="68"/>
      <c r="G3" s="68"/>
      <c r="H3" s="68"/>
      <c r="I3" s="68"/>
      <c r="J3" s="68"/>
      <c r="K3" s="69"/>
      <c r="L3" s="44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3"/>
    </row>
    <row r="4" spans="1:30" ht="20.100000000000001" customHeight="1" thickTop="1">
      <c r="B4" s="35"/>
      <c r="C4" s="79" t="s">
        <v>80</v>
      </c>
      <c r="D4" s="80"/>
      <c r="E4" s="80"/>
      <c r="F4" s="80"/>
      <c r="G4" s="80"/>
      <c r="H4" s="25"/>
      <c r="I4" s="25"/>
      <c r="J4" s="81" t="str">
        <f>VLOOKUP('LINE DATA'!$AC$142,'LINE DATA'!$A$2:$P$139,16)</f>
        <v>SEKUNDER</v>
      </c>
      <c r="K4" s="81"/>
      <c r="L4" s="45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3"/>
    </row>
    <row r="5" spans="1:30" ht="20.100000000000001" customHeight="1">
      <c r="B5" s="35"/>
      <c r="C5" s="48"/>
      <c r="D5" s="36"/>
      <c r="E5" s="25"/>
      <c r="F5" s="25"/>
      <c r="G5" s="25"/>
      <c r="H5" s="25"/>
      <c r="I5" s="25"/>
      <c r="J5" s="25"/>
      <c r="K5" s="25"/>
      <c r="L5" s="45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3"/>
    </row>
    <row r="6" spans="1:30" ht="20.100000000000001" customHeight="1">
      <c r="B6" s="35"/>
      <c r="C6" s="48"/>
      <c r="D6" s="36"/>
      <c r="E6" s="25"/>
      <c r="F6" s="25"/>
      <c r="G6" s="25"/>
      <c r="H6" s="25"/>
      <c r="I6" s="25"/>
      <c r="J6" s="25"/>
      <c r="K6" s="25"/>
      <c r="L6" s="45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3"/>
    </row>
    <row r="7" spans="1:30" ht="20.100000000000001" customHeight="1">
      <c r="A7" s="42"/>
      <c r="B7" s="25"/>
      <c r="C7" s="25"/>
      <c r="D7" s="25"/>
      <c r="E7" s="25"/>
      <c r="F7" s="25"/>
      <c r="G7" s="25"/>
      <c r="H7" s="25"/>
      <c r="I7" s="25"/>
      <c r="J7" s="25"/>
      <c r="K7" s="25"/>
      <c r="L7" s="45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3"/>
    </row>
    <row r="8" spans="1:30" ht="20.100000000000001" customHeight="1">
      <c r="A8" s="42"/>
      <c r="B8" s="63"/>
      <c r="C8" s="63"/>
      <c r="D8" s="63"/>
      <c r="E8" s="63"/>
      <c r="F8" s="25"/>
      <c r="G8" s="63"/>
      <c r="H8" s="63"/>
      <c r="I8" s="63"/>
      <c r="J8" s="63"/>
      <c r="K8" s="25"/>
      <c r="L8" s="45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3"/>
    </row>
    <row r="9" spans="1:30" ht="20.100000000000001" customHeight="1">
      <c r="A9" s="42"/>
      <c r="B9" s="37"/>
      <c r="C9" s="63"/>
      <c r="D9" s="63"/>
      <c r="E9" s="38"/>
      <c r="F9" s="25"/>
      <c r="G9" s="25"/>
      <c r="H9" s="72"/>
      <c r="I9" s="72"/>
      <c r="J9" s="25"/>
      <c r="K9" s="25"/>
      <c r="L9" s="45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3"/>
    </row>
    <row r="10" spans="1:30" ht="20.100000000000001" customHeight="1" thickBot="1">
      <c r="A10" s="42"/>
      <c r="B10" s="37"/>
      <c r="C10" s="63"/>
      <c r="D10" s="63"/>
      <c r="E10" s="38"/>
      <c r="F10" s="25"/>
      <c r="G10" s="25"/>
      <c r="H10" s="25"/>
      <c r="I10" s="25"/>
      <c r="J10" s="25"/>
      <c r="K10" s="25"/>
      <c r="L10" s="45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3"/>
    </row>
    <row r="11" spans="1:30" ht="20.100000000000001" customHeight="1">
      <c r="A11" s="42"/>
      <c r="B11" s="37"/>
      <c r="C11" s="63"/>
      <c r="D11" s="63"/>
      <c r="E11" s="38"/>
      <c r="F11" s="25"/>
      <c r="G11" s="54"/>
      <c r="H11" s="52"/>
      <c r="I11" s="52"/>
      <c r="J11" s="53"/>
      <c r="K11" s="25"/>
      <c r="L11" s="45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3"/>
    </row>
    <row r="12" spans="1:30" ht="20.100000000000001" customHeight="1">
      <c r="A12" s="42"/>
      <c r="B12" s="37"/>
      <c r="C12" s="63"/>
      <c r="D12" s="63"/>
      <c r="E12" s="38"/>
      <c r="F12" s="25"/>
      <c r="G12" s="55"/>
      <c r="H12" s="25"/>
      <c r="I12" s="25"/>
      <c r="J12" s="31"/>
      <c r="K12" s="25"/>
      <c r="L12" s="45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3"/>
    </row>
    <row r="13" spans="1:30" ht="20.100000000000001" customHeight="1" thickBot="1">
      <c r="A13" s="42"/>
      <c r="B13" s="37"/>
      <c r="C13" s="63"/>
      <c r="D13" s="63"/>
      <c r="E13" s="38"/>
      <c r="F13" s="25"/>
      <c r="G13" s="56"/>
      <c r="H13" s="33"/>
      <c r="I13" s="33"/>
      <c r="J13" s="34"/>
      <c r="K13" s="25"/>
      <c r="L13" s="45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3"/>
    </row>
    <row r="14" spans="1:30" ht="20.100000000000001" customHeight="1">
      <c r="A14" s="42"/>
      <c r="B14" s="37"/>
      <c r="C14" s="63"/>
      <c r="D14" s="63"/>
      <c r="E14" s="38"/>
      <c r="F14" s="25"/>
      <c r="G14" s="76"/>
      <c r="H14" s="77"/>
      <c r="I14" s="77"/>
      <c r="J14" s="78"/>
      <c r="K14" s="25"/>
      <c r="L14" s="45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3"/>
    </row>
    <row r="15" spans="1:30" ht="20.100000000000001" customHeight="1">
      <c r="A15" s="42"/>
      <c r="B15" s="37"/>
      <c r="C15" s="63"/>
      <c r="D15" s="63"/>
      <c r="E15" s="38"/>
      <c r="F15" s="25"/>
      <c r="G15" s="30"/>
      <c r="H15" s="25"/>
      <c r="I15" s="25"/>
      <c r="J15" s="31"/>
      <c r="K15" s="25"/>
      <c r="L15" s="45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3"/>
    </row>
    <row r="16" spans="1:30" ht="20.100000000000001" customHeight="1" thickBot="1">
      <c r="A16" s="42"/>
      <c r="B16" s="37"/>
      <c r="C16" s="63"/>
      <c r="D16" s="63"/>
      <c r="E16" s="38"/>
      <c r="F16" s="25"/>
      <c r="G16" s="32"/>
      <c r="H16" s="33"/>
      <c r="I16" s="33"/>
      <c r="J16" s="34"/>
      <c r="K16" s="25"/>
      <c r="L16" s="45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3"/>
    </row>
    <row r="17" spans="1:30" ht="20.100000000000001" customHeight="1">
      <c r="A17" s="42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45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3"/>
    </row>
    <row r="18" spans="1:30" ht="20.100000000000001" customHeight="1">
      <c r="B18" s="39"/>
      <c r="C18" s="63"/>
      <c r="D18" s="63"/>
      <c r="E18" s="63"/>
      <c r="F18" s="63"/>
      <c r="G18" s="63"/>
      <c r="H18" s="63"/>
      <c r="I18" s="63"/>
      <c r="J18" s="63"/>
      <c r="K18" s="25"/>
      <c r="L18" s="45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3"/>
    </row>
    <row r="19" spans="1:30" ht="20.100000000000001" customHeight="1">
      <c r="B19" s="39"/>
      <c r="C19" s="25"/>
      <c r="D19" s="25"/>
      <c r="E19" s="25"/>
      <c r="F19" s="25"/>
      <c r="G19" s="25"/>
      <c r="H19" s="25"/>
      <c r="I19" s="25"/>
      <c r="J19" s="25"/>
      <c r="K19" s="25"/>
      <c r="L19" s="45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3"/>
    </row>
    <row r="20" spans="1:30" ht="20.100000000000001" customHeight="1">
      <c r="B20" s="39"/>
      <c r="C20" s="25"/>
      <c r="D20" s="25"/>
      <c r="E20" s="25"/>
      <c r="F20" s="25"/>
      <c r="G20" s="25"/>
      <c r="H20" s="25"/>
      <c r="I20" s="25"/>
      <c r="J20" s="25"/>
      <c r="K20" s="25"/>
      <c r="L20" s="45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3"/>
    </row>
    <row r="21" spans="1:30" ht="20.100000000000001" customHeight="1">
      <c r="B21" s="39"/>
      <c r="C21" s="25"/>
      <c r="D21" s="25"/>
      <c r="E21" s="25"/>
      <c r="F21" s="25"/>
      <c r="G21" s="25"/>
      <c r="H21" s="25"/>
      <c r="I21" s="25"/>
      <c r="J21" s="25"/>
      <c r="K21" s="25"/>
      <c r="L21" s="45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3"/>
    </row>
    <row r="22" spans="1:30" ht="20.100000000000001" customHeight="1">
      <c r="B22" s="39"/>
      <c r="C22" s="25"/>
      <c r="D22" s="25"/>
      <c r="E22" s="25"/>
      <c r="F22" s="25"/>
      <c r="G22" s="25"/>
      <c r="H22" s="25"/>
      <c r="I22" s="25"/>
      <c r="J22" s="25"/>
      <c r="K22" s="25"/>
      <c r="L22" s="45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3"/>
    </row>
    <row r="23" spans="1:30" ht="20.100000000000001" customHeight="1">
      <c r="B23" s="39"/>
      <c r="C23" s="25"/>
      <c r="D23" s="25"/>
      <c r="E23" s="25"/>
      <c r="F23" s="25"/>
      <c r="G23" s="25"/>
      <c r="H23" s="25"/>
      <c r="I23" s="25"/>
      <c r="J23" s="25"/>
      <c r="K23" s="25"/>
      <c r="L23" s="45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3"/>
    </row>
    <row r="24" spans="1:30" ht="20.100000000000001" customHeight="1">
      <c r="B24" s="39"/>
      <c r="C24" s="25"/>
      <c r="D24" s="25"/>
      <c r="E24" s="25"/>
      <c r="F24" s="25"/>
      <c r="G24" s="25"/>
      <c r="H24" s="25"/>
      <c r="I24" s="25"/>
      <c r="J24" s="25"/>
      <c r="K24" s="25"/>
      <c r="L24" s="45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3"/>
    </row>
    <row r="25" spans="1:30" ht="20.100000000000001" customHeight="1">
      <c r="B25" s="39"/>
      <c r="C25" s="63"/>
      <c r="D25" s="63"/>
      <c r="E25" s="63"/>
      <c r="F25" s="63"/>
      <c r="G25" s="63"/>
      <c r="H25" s="63"/>
      <c r="I25" s="63"/>
      <c r="J25" s="63"/>
      <c r="K25" s="25"/>
      <c r="L25" s="45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3"/>
    </row>
    <row r="26" spans="1:30" ht="20.100000000000001" customHeight="1">
      <c r="B26" s="39"/>
      <c r="C26" s="25"/>
      <c r="D26" s="25"/>
      <c r="E26" s="25"/>
      <c r="F26" s="25"/>
      <c r="G26" s="25"/>
      <c r="H26" s="25"/>
      <c r="I26" s="25"/>
      <c r="J26" s="25"/>
      <c r="K26" s="25"/>
      <c r="L26" s="45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3"/>
    </row>
    <row r="27" spans="1:30" ht="20.100000000000001" customHeight="1">
      <c r="B27" s="39"/>
      <c r="C27" s="25"/>
      <c r="D27" s="25"/>
      <c r="E27" s="25"/>
      <c r="F27" s="25"/>
      <c r="G27" s="25"/>
      <c r="H27" s="25"/>
      <c r="I27" s="25"/>
      <c r="J27" s="25"/>
      <c r="K27" s="25"/>
      <c r="L27" s="45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3"/>
    </row>
    <row r="28" spans="1:30" ht="20.100000000000001" customHeight="1">
      <c r="B28" s="39"/>
      <c r="C28" s="25"/>
      <c r="D28" s="25"/>
      <c r="E28" s="25"/>
      <c r="F28" s="25"/>
      <c r="G28" s="25"/>
      <c r="H28" s="25"/>
      <c r="I28" s="25"/>
      <c r="J28" s="25"/>
      <c r="K28" s="25"/>
      <c r="L28" s="45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3"/>
    </row>
    <row r="29" spans="1:30" ht="20.100000000000001" customHeight="1">
      <c r="B29" s="39"/>
      <c r="C29" s="25"/>
      <c r="D29" s="25"/>
      <c r="E29" s="25"/>
      <c r="F29" s="25"/>
      <c r="G29" s="25"/>
      <c r="H29" s="25"/>
      <c r="I29" s="25"/>
      <c r="J29" s="25"/>
      <c r="K29" s="25"/>
      <c r="L29" s="45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3"/>
    </row>
    <row r="30" spans="1:30" ht="20.100000000000001" customHeight="1">
      <c r="B30" s="39"/>
      <c r="C30" s="25"/>
      <c r="D30" s="25"/>
      <c r="E30" s="25"/>
      <c r="F30" s="25"/>
      <c r="G30" s="25"/>
      <c r="H30" s="25"/>
      <c r="I30" s="25"/>
      <c r="J30" s="25"/>
      <c r="K30" s="25"/>
      <c r="L30" s="45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3"/>
    </row>
    <row r="31" spans="1:30" ht="20.100000000000001" customHeight="1" thickBot="1">
      <c r="B31" s="40"/>
      <c r="C31" s="41"/>
      <c r="D31" s="41"/>
      <c r="E31" s="41"/>
      <c r="F31" s="41"/>
      <c r="G31" s="41"/>
      <c r="H31" s="41"/>
      <c r="I31" s="41"/>
      <c r="J31" s="41"/>
      <c r="K31" s="41"/>
      <c r="L31" s="46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5"/>
    </row>
    <row r="32" spans="1:30" ht="20.100000000000001" customHeight="1" thickTop="1"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57" t="s">
        <v>73</v>
      </c>
    </row>
    <row r="33" spans="2:30" ht="20.100000000000001" customHeight="1"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</row>
    <row r="34" spans="2:30" ht="20.100000000000001" customHeight="1"/>
    <row r="35" spans="2:30" ht="20.100000000000001" customHeight="1"/>
    <row r="36" spans="2:30" ht="20.100000000000001" customHeight="1"/>
    <row r="37" spans="2:30" ht="20.100000000000001" customHeight="1"/>
    <row r="38" spans="2:30" ht="20.100000000000001" customHeight="1"/>
    <row r="39" spans="2:30" ht="20.100000000000001" customHeight="1"/>
    <row r="40" spans="2:30" ht="20.100000000000001" customHeight="1"/>
    <row r="41" spans="2:30" ht="20.100000000000001" customHeight="1"/>
    <row r="42" spans="2:30" ht="20.100000000000001" customHeight="1"/>
    <row r="43" spans="2:30" ht="20.100000000000001" customHeight="1"/>
    <row r="44" spans="2:30" ht="20.100000000000001" customHeight="1"/>
    <row r="45" spans="2:30" ht="20.100000000000001" customHeight="1">
      <c r="B45" s="49" t="s">
        <v>69</v>
      </c>
      <c r="C45" s="47">
        <v>77</v>
      </c>
    </row>
    <row r="46" spans="2:30" ht="20.100000000000001" customHeight="1">
      <c r="B46" s="62" t="s">
        <v>68</v>
      </c>
      <c r="C46" s="50">
        <v>450</v>
      </c>
    </row>
    <row r="47" spans="2:30" ht="20.100000000000001" customHeight="1">
      <c r="B47" s="62"/>
      <c r="C47" s="50">
        <f>C46/1000</f>
        <v>0.45</v>
      </c>
    </row>
    <row r="48" spans="2:30" ht="20.100000000000001" customHeight="1">
      <c r="C48">
        <v>240</v>
      </c>
    </row>
    <row r="49" spans="2:4" ht="20.100000000000001" customHeight="1">
      <c r="B49" t="s">
        <v>70</v>
      </c>
      <c r="C49" s="51">
        <f>C48/1000</f>
        <v>0.24</v>
      </c>
      <c r="D49">
        <v>0</v>
      </c>
    </row>
    <row r="50" spans="2:4" ht="20.100000000000001" customHeight="1">
      <c r="B50" t="s">
        <v>71</v>
      </c>
      <c r="C50" s="51">
        <f>C49+(C6*C5/1000)</f>
        <v>0.24</v>
      </c>
      <c r="D50">
        <v>0</v>
      </c>
    </row>
    <row r="51" spans="2:4" ht="20.100000000000001" customHeight="1"/>
    <row r="52" spans="2:4" ht="20.100000000000001" customHeight="1"/>
    <row r="53" spans="2:4" ht="20.100000000000001" customHeight="1"/>
    <row r="54" spans="2:4" ht="20.100000000000001" customHeight="1"/>
    <row r="55" spans="2:4" ht="20.100000000000001" customHeight="1"/>
    <row r="56" spans="2:4" ht="20.100000000000001" customHeight="1"/>
    <row r="57" spans="2:4" ht="20.100000000000001" customHeight="1"/>
    <row r="58" spans="2:4" ht="20.100000000000001" customHeight="1"/>
    <row r="59" spans="2:4" ht="20.100000000000001" customHeight="1"/>
  </sheetData>
  <dataConsolidate/>
  <mergeCells count="19">
    <mergeCell ref="M2:AD31"/>
    <mergeCell ref="G8:J8"/>
    <mergeCell ref="G14:J14"/>
    <mergeCell ref="C4:G4"/>
    <mergeCell ref="C25:J25"/>
    <mergeCell ref="C18:J18"/>
    <mergeCell ref="C11:D11"/>
    <mergeCell ref="C12:D12"/>
    <mergeCell ref="C13:D13"/>
    <mergeCell ref="C14:D14"/>
    <mergeCell ref="C15:D15"/>
    <mergeCell ref="C16:D16"/>
    <mergeCell ref="H9:I9"/>
    <mergeCell ref="J4:K4"/>
    <mergeCell ref="B46:B47"/>
    <mergeCell ref="B8:E8"/>
    <mergeCell ref="C9:D9"/>
    <mergeCell ref="C10:D10"/>
    <mergeCell ref="B2:K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78" r:id="rId4" name="CheckBox3">
          <controlPr defaultSize="0" autoLine="0" r:id="rId5">
            <anchor moveWithCells="1">
              <from>
                <xdr:col>8</xdr:col>
                <xdr:colOff>400050</xdr:colOff>
                <xdr:row>9</xdr:row>
                <xdr:rowOff>19050</xdr:rowOff>
              </from>
              <to>
                <xdr:col>9</xdr:col>
                <xdr:colOff>542925</xdr:colOff>
                <xdr:row>9</xdr:row>
                <xdr:rowOff>247650</xdr:rowOff>
              </to>
            </anchor>
          </controlPr>
        </control>
      </mc:Choice>
      <mc:Fallback>
        <control shapeId="15378" r:id="rId4" name="CheckBox3"/>
      </mc:Fallback>
    </mc:AlternateContent>
    <mc:AlternateContent xmlns:mc="http://schemas.openxmlformats.org/markup-compatibility/2006">
      <mc:Choice Requires="x14">
        <control shapeId="15377" r:id="rId6" name="CheckBox2">
          <controlPr defaultSize="0" autoLine="0" r:id="rId7">
            <anchor moveWithCells="1">
              <from>
                <xdr:col>7</xdr:col>
                <xdr:colOff>228600</xdr:colOff>
                <xdr:row>9</xdr:row>
                <xdr:rowOff>19050</xdr:rowOff>
              </from>
              <to>
                <xdr:col>8</xdr:col>
                <xdr:colOff>361950</xdr:colOff>
                <xdr:row>9</xdr:row>
                <xdr:rowOff>247650</xdr:rowOff>
              </to>
            </anchor>
          </controlPr>
        </control>
      </mc:Choice>
      <mc:Fallback>
        <control shapeId="15377" r:id="rId6" name="CheckBox2"/>
      </mc:Fallback>
    </mc:AlternateContent>
    <mc:AlternateContent xmlns:mc="http://schemas.openxmlformats.org/markup-compatibility/2006">
      <mc:Choice Requires="x14">
        <control shapeId="15376" r:id="rId8" name="CheckBox1">
          <controlPr defaultSize="0" autoLine="0" r:id="rId9">
            <anchor moveWithCells="1">
              <from>
                <xdr:col>6</xdr:col>
                <xdr:colOff>66675</xdr:colOff>
                <xdr:row>9</xdr:row>
                <xdr:rowOff>19050</xdr:rowOff>
              </from>
              <to>
                <xdr:col>7</xdr:col>
                <xdr:colOff>209550</xdr:colOff>
                <xdr:row>9</xdr:row>
                <xdr:rowOff>247650</xdr:rowOff>
              </to>
            </anchor>
          </controlPr>
        </control>
      </mc:Choice>
      <mc:Fallback>
        <control shapeId="15376" r:id="rId8" name="CheckBox1"/>
      </mc:Fallback>
    </mc:AlternateContent>
    <mc:AlternateContent xmlns:mc="http://schemas.openxmlformats.org/markup-compatibility/2006">
      <mc:Choice Requires="x14">
        <control shapeId="15365" r:id="rId10" name="PHASE_T">
          <controlPr defaultSize="0" autoLine="0" r:id="rId11">
            <anchor moveWithCells="1">
              <from>
                <xdr:col>8</xdr:col>
                <xdr:colOff>400050</xdr:colOff>
                <xdr:row>8</xdr:row>
                <xdr:rowOff>19050</xdr:rowOff>
              </from>
              <to>
                <xdr:col>9</xdr:col>
                <xdr:colOff>542925</xdr:colOff>
                <xdr:row>8</xdr:row>
                <xdr:rowOff>247650</xdr:rowOff>
              </to>
            </anchor>
          </controlPr>
        </control>
      </mc:Choice>
      <mc:Fallback>
        <control shapeId="15365" r:id="rId10" name="PHASE_T"/>
      </mc:Fallback>
    </mc:AlternateContent>
    <mc:AlternateContent xmlns:mc="http://schemas.openxmlformats.org/markup-compatibility/2006">
      <mc:Choice Requires="x14">
        <control shapeId="15364" r:id="rId12" name="PHASE_S">
          <controlPr defaultSize="0" autoLine="0" r:id="rId13">
            <anchor moveWithCells="1">
              <from>
                <xdr:col>7</xdr:col>
                <xdr:colOff>228600</xdr:colOff>
                <xdr:row>8</xdr:row>
                <xdr:rowOff>19050</xdr:rowOff>
              </from>
              <to>
                <xdr:col>8</xdr:col>
                <xdr:colOff>361950</xdr:colOff>
                <xdr:row>8</xdr:row>
                <xdr:rowOff>247650</xdr:rowOff>
              </to>
            </anchor>
          </controlPr>
        </control>
      </mc:Choice>
      <mc:Fallback>
        <control shapeId="15364" r:id="rId12" name="PHASE_S"/>
      </mc:Fallback>
    </mc:AlternateContent>
    <mc:AlternateContent xmlns:mc="http://schemas.openxmlformats.org/markup-compatibility/2006">
      <mc:Choice Requires="x14">
        <control shapeId="15361" r:id="rId14" name="PHASE_R">
          <controlPr defaultSize="0" autoLine="0" r:id="rId15">
            <anchor moveWithCells="1">
              <from>
                <xdr:col>6</xdr:col>
                <xdr:colOff>66675</xdr:colOff>
                <xdr:row>8</xdr:row>
                <xdr:rowOff>19050</xdr:rowOff>
              </from>
              <to>
                <xdr:col>7</xdr:col>
                <xdr:colOff>209550</xdr:colOff>
                <xdr:row>8</xdr:row>
                <xdr:rowOff>247650</xdr:rowOff>
              </to>
            </anchor>
          </controlPr>
        </control>
      </mc:Choice>
      <mc:Fallback>
        <control shapeId="15361" r:id="rId14" name="PHASE_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C3249A-9458-4866-BCEE-6213E341F909}">
          <x14:formula1>
            <xm:f>'LINE DATA'!$B$2:$B$141</xm:f>
          </x14:formula1>
          <xm:sqref>C4:G4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M404"/>
  <sheetViews>
    <sheetView workbookViewId="0">
      <selection activeCell="L20" sqref="L20"/>
    </sheetView>
  </sheetViews>
  <sheetFormatPr defaultColWidth="9" defaultRowHeight="15"/>
  <sheetData>
    <row r="2" spans="2:13">
      <c r="M2">
        <v>24</v>
      </c>
    </row>
    <row r="3" spans="2:13">
      <c r="B3" t="s">
        <v>2</v>
      </c>
      <c r="C3" t="s">
        <v>3</v>
      </c>
    </row>
    <row r="4" spans="2:13">
      <c r="B4" t="e">
        <f>INDEX(#REF!,$M$2,2)</f>
        <v>#REF!</v>
      </c>
      <c r="C4" t="e">
        <f>INDEX(#REF!,$M$2,5)</f>
        <v>#REF!</v>
      </c>
    </row>
    <row r="5" spans="2:13">
      <c r="B5" t="e">
        <f>INDEX(#REF!,$M$2,2)</f>
        <v>#REF!</v>
      </c>
      <c r="C5" t="e">
        <f>INDEX(#REF!,$M$2,5)</f>
        <v>#REF!</v>
      </c>
    </row>
    <row r="6" spans="2:13">
      <c r="B6" t="e">
        <f>INDEX(#REF!,$M$2,2)</f>
        <v>#REF!</v>
      </c>
      <c r="C6" t="e">
        <f>INDEX(#REF!,$M$2,5)</f>
        <v>#REF!</v>
      </c>
    </row>
    <row r="7" spans="2:13">
      <c r="B7" t="e">
        <f>INDEX(#REF!,$M$2,2)</f>
        <v>#REF!</v>
      </c>
      <c r="C7" t="e">
        <f>INDEX(#REF!,$M$2,5)</f>
        <v>#REF!</v>
      </c>
    </row>
    <row r="8" spans="2:13">
      <c r="B8" t="e">
        <f>INDEX(#REF!,$M$2,2)</f>
        <v>#REF!</v>
      </c>
      <c r="C8" t="e">
        <f>INDEX(#REF!,$M$2,5)</f>
        <v>#REF!</v>
      </c>
    </row>
    <row r="9" spans="2:13">
      <c r="B9" t="e">
        <f>INDEX(#REF!,$M$2,2)</f>
        <v>#REF!</v>
      </c>
      <c r="C9" t="e">
        <f>INDEX(#REF!,$M$2,5)</f>
        <v>#REF!</v>
      </c>
    </row>
    <row r="10" spans="2:13">
      <c r="B10" t="e">
        <f>INDEX(#REF!,$M$2,2)</f>
        <v>#REF!</v>
      </c>
      <c r="C10" t="e">
        <f>INDEX(#REF!,$M$2,5)</f>
        <v>#REF!</v>
      </c>
    </row>
    <row r="11" spans="2:13">
      <c r="B11" t="e">
        <f>INDEX(#REF!,$M$2,2)</f>
        <v>#REF!</v>
      </c>
      <c r="C11" t="e">
        <f>INDEX(#REF!,$M$2,5)</f>
        <v>#REF!</v>
      </c>
    </row>
    <row r="12" spans="2:13">
      <c r="B12" t="e">
        <f>INDEX(#REF!,$M$2,2)</f>
        <v>#REF!</v>
      </c>
      <c r="C12" t="e">
        <f>INDEX(#REF!,$M$2,5)</f>
        <v>#REF!</v>
      </c>
    </row>
    <row r="13" spans="2:13">
      <c r="B13" t="e">
        <f>INDEX(#REF!,$M$2,2)</f>
        <v>#REF!</v>
      </c>
      <c r="C13" t="e">
        <f>INDEX(#REF!,$M$2,5)</f>
        <v>#REF!</v>
      </c>
    </row>
    <row r="14" spans="2:13">
      <c r="B14" t="e">
        <f>INDEX(#REF!,$M$2,2)</f>
        <v>#REF!</v>
      </c>
      <c r="C14" t="e">
        <f>INDEX(#REF!,$M$2,5)</f>
        <v>#REF!</v>
      </c>
    </row>
    <row r="15" spans="2:13">
      <c r="B15" t="e">
        <f>INDEX(#REF!,$M$2,2)</f>
        <v>#REF!</v>
      </c>
      <c r="C15" t="e">
        <f>INDEX(#REF!,$M$2,5)</f>
        <v>#REF!</v>
      </c>
    </row>
    <row r="16" spans="2:13">
      <c r="B16" t="e">
        <f>INDEX(#REF!,$M$2,2)</f>
        <v>#REF!</v>
      </c>
      <c r="C16" t="e">
        <f>INDEX(#REF!,$M$2,5)</f>
        <v>#REF!</v>
      </c>
    </row>
    <row r="17" spans="2:3">
      <c r="B17" t="e">
        <f>INDEX(#REF!,$M$2,2)</f>
        <v>#REF!</v>
      </c>
      <c r="C17" t="e">
        <f>INDEX(#REF!,$M$2,5)</f>
        <v>#REF!</v>
      </c>
    </row>
    <row r="18" spans="2:3">
      <c r="B18" t="e">
        <f>INDEX(#REF!,$M$2,2)</f>
        <v>#REF!</v>
      </c>
      <c r="C18" t="e">
        <f>INDEX(#REF!,$M$2,5)</f>
        <v>#REF!</v>
      </c>
    </row>
    <row r="19" spans="2:3">
      <c r="B19" t="e">
        <f>INDEX(#REF!,$M$2,2)</f>
        <v>#REF!</v>
      </c>
      <c r="C19" t="e">
        <f>INDEX(#REF!,$M$2,5)</f>
        <v>#REF!</v>
      </c>
    </row>
    <row r="20" spans="2:3">
      <c r="B20" t="e">
        <f>INDEX(#REF!,$M$2,2)</f>
        <v>#REF!</v>
      </c>
      <c r="C20" t="e">
        <f>INDEX(#REF!,$M$2,5)</f>
        <v>#REF!</v>
      </c>
    </row>
    <row r="21" spans="2:3">
      <c r="B21" t="e">
        <f>INDEX(#REF!,$M$2,2)</f>
        <v>#REF!</v>
      </c>
      <c r="C21" t="e">
        <f>INDEX(#REF!,$M$2,5)</f>
        <v>#REF!</v>
      </c>
    </row>
    <row r="22" spans="2:3">
      <c r="B22" t="e">
        <f>INDEX(#REF!,$M$2,2)</f>
        <v>#REF!</v>
      </c>
      <c r="C22" t="e">
        <f>INDEX(#REF!,$M$2,5)</f>
        <v>#REF!</v>
      </c>
    </row>
    <row r="23" spans="2:3">
      <c r="B23" t="e">
        <f>INDEX(#REF!,$M$2,2)</f>
        <v>#REF!</v>
      </c>
      <c r="C23" t="e">
        <f>INDEX(#REF!,$M$2,5)</f>
        <v>#REF!</v>
      </c>
    </row>
    <row r="24" spans="2:3">
      <c r="B24" t="e">
        <f>INDEX(#REF!,$M$2,2)</f>
        <v>#REF!</v>
      </c>
      <c r="C24" t="e">
        <f>INDEX(#REF!,$M$2,5)</f>
        <v>#REF!</v>
      </c>
    </row>
    <row r="25" spans="2:3">
      <c r="B25" t="e">
        <f>INDEX(#REF!,$M$2,2)</f>
        <v>#REF!</v>
      </c>
      <c r="C25" t="e">
        <f>INDEX(#REF!,$M$2,5)</f>
        <v>#REF!</v>
      </c>
    </row>
    <row r="26" spans="2:3">
      <c r="B26" t="e">
        <f>INDEX(#REF!,$M$2,2)</f>
        <v>#REF!</v>
      </c>
      <c r="C26" t="e">
        <f>INDEX(#REF!,$M$2,5)</f>
        <v>#REF!</v>
      </c>
    </row>
    <row r="27" spans="2:3">
      <c r="B27" t="e">
        <f>INDEX(#REF!,$M$2,2)</f>
        <v>#REF!</v>
      </c>
      <c r="C27" t="e">
        <f>INDEX(#REF!,$M$2,5)</f>
        <v>#REF!</v>
      </c>
    </row>
    <row r="28" spans="2:3">
      <c r="B28" t="e">
        <f>INDEX(#REF!,$M$2,2)</f>
        <v>#REF!</v>
      </c>
      <c r="C28" t="e">
        <f>INDEX(#REF!,$M$2,5)</f>
        <v>#REF!</v>
      </c>
    </row>
    <row r="29" spans="2:3">
      <c r="B29" t="e">
        <f>INDEX(#REF!,$M$2,2)</f>
        <v>#REF!</v>
      </c>
      <c r="C29" t="e">
        <f>INDEX(#REF!,$M$2,5)</f>
        <v>#REF!</v>
      </c>
    </row>
    <row r="30" spans="2:3">
      <c r="B30" t="e">
        <f>INDEX(#REF!,$M$2,2)</f>
        <v>#REF!</v>
      </c>
      <c r="C30" t="e">
        <f>INDEX(#REF!,$M$2,5)</f>
        <v>#REF!</v>
      </c>
    </row>
    <row r="31" spans="2:3">
      <c r="B31" t="e">
        <f>INDEX(#REF!,$M$2,2)</f>
        <v>#REF!</v>
      </c>
      <c r="C31" t="e">
        <f>INDEX(#REF!,$M$2,5)</f>
        <v>#REF!</v>
      </c>
    </row>
    <row r="32" spans="2:3">
      <c r="B32" t="e">
        <f>INDEX(#REF!,$M$2,2)</f>
        <v>#REF!</v>
      </c>
      <c r="C32" t="e">
        <f>INDEX(#REF!,$M$2,5)</f>
        <v>#REF!</v>
      </c>
    </row>
    <row r="33" spans="2:3">
      <c r="B33" t="e">
        <f>INDEX(#REF!,$M$2,2)</f>
        <v>#REF!</v>
      </c>
      <c r="C33" t="e">
        <f>INDEX(#REF!,$M$2,5)</f>
        <v>#REF!</v>
      </c>
    </row>
    <row r="34" spans="2:3">
      <c r="B34" t="e">
        <f>INDEX(#REF!,$M$2,2)</f>
        <v>#REF!</v>
      </c>
      <c r="C34" t="e">
        <f>INDEX(#REF!,$M$2,5)</f>
        <v>#REF!</v>
      </c>
    </row>
    <row r="35" spans="2:3">
      <c r="B35" t="e">
        <f>INDEX(#REF!,$M$2,2)</f>
        <v>#REF!</v>
      </c>
      <c r="C35" t="e">
        <f>INDEX(#REF!,$M$2,5)</f>
        <v>#REF!</v>
      </c>
    </row>
    <row r="36" spans="2:3">
      <c r="B36" t="e">
        <f>INDEX(#REF!,$M$2,2)</f>
        <v>#REF!</v>
      </c>
      <c r="C36" t="e">
        <f>INDEX(#REF!,$M$2,5)</f>
        <v>#REF!</v>
      </c>
    </row>
    <row r="37" spans="2:3">
      <c r="B37" t="e">
        <f>INDEX(#REF!,$M$2,2)</f>
        <v>#REF!</v>
      </c>
      <c r="C37" t="e">
        <f>INDEX(#REF!,$M$2,5)</f>
        <v>#REF!</v>
      </c>
    </row>
    <row r="38" spans="2:3">
      <c r="B38" t="e">
        <f>INDEX(#REF!,$M$2,2)</f>
        <v>#REF!</v>
      </c>
      <c r="C38" t="e">
        <f>INDEX(#REF!,$M$2,5)</f>
        <v>#REF!</v>
      </c>
    </row>
    <row r="39" spans="2:3">
      <c r="B39" t="e">
        <f>INDEX(#REF!,$M$2,2)</f>
        <v>#REF!</v>
      </c>
      <c r="C39" t="e">
        <f>INDEX(#REF!,$M$2,5)</f>
        <v>#REF!</v>
      </c>
    </row>
    <row r="40" spans="2:3">
      <c r="B40" t="e">
        <f>INDEX(#REF!,$M$2,2)</f>
        <v>#REF!</v>
      </c>
      <c r="C40" t="e">
        <f>INDEX(#REF!,$M$2,5)</f>
        <v>#REF!</v>
      </c>
    </row>
    <row r="41" spans="2:3">
      <c r="B41" t="e">
        <f>INDEX(#REF!,$M$2,2)</f>
        <v>#REF!</v>
      </c>
      <c r="C41" t="e">
        <f>INDEX(#REF!,$M$2,5)</f>
        <v>#REF!</v>
      </c>
    </row>
    <row r="42" spans="2:3">
      <c r="B42" t="e">
        <f>INDEX(#REF!,$M$2,2)</f>
        <v>#REF!</v>
      </c>
      <c r="C42" t="e">
        <f>INDEX(#REF!,$M$2,5)</f>
        <v>#REF!</v>
      </c>
    </row>
    <row r="43" spans="2:3">
      <c r="B43" t="e">
        <f>INDEX(#REF!,$M$2,2)</f>
        <v>#REF!</v>
      </c>
      <c r="C43" t="e">
        <f>INDEX(#REF!,$M$2,5)</f>
        <v>#REF!</v>
      </c>
    </row>
    <row r="44" spans="2:3">
      <c r="B44" t="e">
        <f>INDEX(#REF!,$M$2,2)</f>
        <v>#REF!</v>
      </c>
      <c r="C44" t="e">
        <f>INDEX(#REF!,$M$2,5)</f>
        <v>#REF!</v>
      </c>
    </row>
    <row r="45" spans="2:3">
      <c r="B45" t="e">
        <f>INDEX(#REF!,$M$2,2)</f>
        <v>#REF!</v>
      </c>
      <c r="C45" t="e">
        <f>INDEX(#REF!,$M$2,5)</f>
        <v>#REF!</v>
      </c>
    </row>
    <row r="46" spans="2:3">
      <c r="B46" t="e">
        <f>INDEX(#REF!,$M$2,2)</f>
        <v>#REF!</v>
      </c>
      <c r="C46" t="e">
        <f>INDEX(#REF!,$M$2,5)</f>
        <v>#REF!</v>
      </c>
    </row>
    <row r="47" spans="2:3">
      <c r="B47" t="e">
        <f>INDEX(#REF!,$M$2,2)</f>
        <v>#REF!</v>
      </c>
      <c r="C47" t="e">
        <f>INDEX(#REF!,$M$2,5)</f>
        <v>#REF!</v>
      </c>
    </row>
    <row r="48" spans="2:3">
      <c r="B48" t="e">
        <f>INDEX(#REF!,$M$2,2)</f>
        <v>#REF!</v>
      </c>
      <c r="C48" t="e">
        <f>INDEX(#REF!,$M$2,5)</f>
        <v>#REF!</v>
      </c>
    </row>
    <row r="49" spans="2:3">
      <c r="B49" t="e">
        <f>INDEX(#REF!,$M$2,2)</f>
        <v>#REF!</v>
      </c>
      <c r="C49" t="e">
        <f>INDEX(#REF!,$M$2,5)</f>
        <v>#REF!</v>
      </c>
    </row>
    <row r="50" spans="2:3">
      <c r="B50" t="e">
        <f>INDEX(#REF!,$M$2,2)</f>
        <v>#REF!</v>
      </c>
      <c r="C50" t="e">
        <f>INDEX(#REF!,$M$2,5)</f>
        <v>#REF!</v>
      </c>
    </row>
    <row r="51" spans="2:3">
      <c r="B51" t="e">
        <f>INDEX(#REF!,$M$2,2)</f>
        <v>#REF!</v>
      </c>
      <c r="C51" t="e">
        <f>INDEX(#REF!,$M$2,5)</f>
        <v>#REF!</v>
      </c>
    </row>
    <row r="52" spans="2:3">
      <c r="B52" t="e">
        <f>INDEX(#REF!,$M$2,2)</f>
        <v>#REF!</v>
      </c>
      <c r="C52" t="e">
        <f>INDEX(#REF!,$M$2,5)</f>
        <v>#REF!</v>
      </c>
    </row>
    <row r="53" spans="2:3">
      <c r="B53" t="e">
        <f>INDEX(#REF!,$M$2,2)</f>
        <v>#REF!</v>
      </c>
      <c r="C53" t="e">
        <f>INDEX(#REF!,$M$2,5)</f>
        <v>#REF!</v>
      </c>
    </row>
    <row r="54" spans="2:3">
      <c r="B54" t="e">
        <f>INDEX(#REF!,$M$2,2)</f>
        <v>#REF!</v>
      </c>
      <c r="C54" t="e">
        <f>INDEX(#REF!,$M$2,5)</f>
        <v>#REF!</v>
      </c>
    </row>
    <row r="55" spans="2:3">
      <c r="B55" t="e">
        <f>INDEX(#REF!,$M$2,2)</f>
        <v>#REF!</v>
      </c>
      <c r="C55" t="e">
        <f>INDEX(#REF!,$M$2,5)</f>
        <v>#REF!</v>
      </c>
    </row>
    <row r="56" spans="2:3">
      <c r="B56" t="e">
        <f>INDEX(#REF!,$M$2,2)</f>
        <v>#REF!</v>
      </c>
      <c r="C56" t="e">
        <f>INDEX(#REF!,$M$2,5)</f>
        <v>#REF!</v>
      </c>
    </row>
    <row r="57" spans="2:3">
      <c r="B57" t="e">
        <f>INDEX(#REF!,$M$2,2)</f>
        <v>#REF!</v>
      </c>
      <c r="C57" t="e">
        <f>INDEX(#REF!,$M$2,5)</f>
        <v>#REF!</v>
      </c>
    </row>
    <row r="58" spans="2:3">
      <c r="B58" t="e">
        <f>INDEX(#REF!,$M$2,2)</f>
        <v>#REF!</v>
      </c>
      <c r="C58" t="e">
        <f>INDEX(#REF!,$M$2,5)</f>
        <v>#REF!</v>
      </c>
    </row>
    <row r="59" spans="2:3">
      <c r="B59" t="e">
        <f>INDEX(#REF!,$M$2,2)</f>
        <v>#REF!</v>
      </c>
      <c r="C59" t="e">
        <f>INDEX(#REF!,$M$2,5)</f>
        <v>#REF!</v>
      </c>
    </row>
    <row r="60" spans="2:3">
      <c r="B60" t="e">
        <f>INDEX(#REF!,$M$2,2)</f>
        <v>#REF!</v>
      </c>
      <c r="C60" t="e">
        <f>INDEX(#REF!,$M$2,5)</f>
        <v>#REF!</v>
      </c>
    </row>
    <row r="61" spans="2:3">
      <c r="B61" t="e">
        <f>INDEX(#REF!,$M$2,2)</f>
        <v>#REF!</v>
      </c>
      <c r="C61" t="e">
        <f>INDEX(#REF!,$M$2,5)</f>
        <v>#REF!</v>
      </c>
    </row>
    <row r="62" spans="2:3">
      <c r="B62" t="e">
        <f>INDEX(#REF!,$M$2,2)</f>
        <v>#REF!</v>
      </c>
      <c r="C62" t="e">
        <f>INDEX(#REF!,$M$2,5)</f>
        <v>#REF!</v>
      </c>
    </row>
    <row r="63" spans="2:3">
      <c r="B63" t="e">
        <f>INDEX(#REF!,$M$2,2)</f>
        <v>#REF!</v>
      </c>
      <c r="C63" t="e">
        <f>INDEX(#REF!,$M$2,5)</f>
        <v>#REF!</v>
      </c>
    </row>
    <row r="64" spans="2:3">
      <c r="B64" t="e">
        <f>INDEX(#REF!,$M$2,2)</f>
        <v>#REF!</v>
      </c>
      <c r="C64" t="e">
        <f>INDEX(#REF!,$M$2,5)</f>
        <v>#REF!</v>
      </c>
    </row>
    <row r="65" spans="2:3">
      <c r="B65" t="e">
        <f>INDEX(#REF!,$M$2,2)</f>
        <v>#REF!</v>
      </c>
      <c r="C65" t="e">
        <f>INDEX(#REF!,$M$2,5)</f>
        <v>#REF!</v>
      </c>
    </row>
    <row r="66" spans="2:3">
      <c r="B66" t="e">
        <f>INDEX(#REF!,$M$2,2)</f>
        <v>#REF!</v>
      </c>
      <c r="C66" t="e">
        <f>INDEX(#REF!,$M$2,5)</f>
        <v>#REF!</v>
      </c>
    </row>
    <row r="67" spans="2:3">
      <c r="B67" t="e">
        <f>INDEX(#REF!,$M$2,2)</f>
        <v>#REF!</v>
      </c>
      <c r="C67" t="e">
        <f>INDEX(#REF!,$M$2,5)</f>
        <v>#REF!</v>
      </c>
    </row>
    <row r="68" spans="2:3">
      <c r="B68" t="e">
        <f>INDEX(#REF!,$M$2,2)</f>
        <v>#REF!</v>
      </c>
      <c r="C68" t="e">
        <f>INDEX(#REF!,$M$2,5)</f>
        <v>#REF!</v>
      </c>
    </row>
    <row r="69" spans="2:3">
      <c r="B69" t="e">
        <f>INDEX(#REF!,$M$2,2)</f>
        <v>#REF!</v>
      </c>
      <c r="C69" t="e">
        <f>INDEX(#REF!,$M$2,5)</f>
        <v>#REF!</v>
      </c>
    </row>
    <row r="70" spans="2:3">
      <c r="B70" t="e">
        <f>INDEX(#REF!,$M$2,2)</f>
        <v>#REF!</v>
      </c>
      <c r="C70" t="e">
        <f>INDEX(#REF!,$M$2,5)</f>
        <v>#REF!</v>
      </c>
    </row>
    <row r="71" spans="2:3">
      <c r="B71" t="e">
        <f>INDEX(#REF!,$M$2,2)</f>
        <v>#REF!</v>
      </c>
      <c r="C71" t="e">
        <f>INDEX(#REF!,$M$2,5)</f>
        <v>#REF!</v>
      </c>
    </row>
    <row r="72" spans="2:3">
      <c r="B72" t="e">
        <f>INDEX(#REF!,$M$2,2)</f>
        <v>#REF!</v>
      </c>
      <c r="C72" t="e">
        <f>INDEX(#REF!,$M$2,5)</f>
        <v>#REF!</v>
      </c>
    </row>
    <row r="73" spans="2:3">
      <c r="B73" t="e">
        <f>INDEX(#REF!,$M$2,2)</f>
        <v>#REF!</v>
      </c>
      <c r="C73" t="e">
        <f>INDEX(#REF!,$M$2,5)</f>
        <v>#REF!</v>
      </c>
    </row>
    <row r="74" spans="2:3">
      <c r="B74" t="e">
        <f>INDEX(#REF!,$M$2,2)</f>
        <v>#REF!</v>
      </c>
      <c r="C74" t="e">
        <f>INDEX(#REF!,$M$2,5)</f>
        <v>#REF!</v>
      </c>
    </row>
    <row r="75" spans="2:3">
      <c r="B75" t="e">
        <f>INDEX(#REF!,$M$2,2)</f>
        <v>#REF!</v>
      </c>
      <c r="C75" t="e">
        <f>INDEX(#REF!,$M$2,5)</f>
        <v>#REF!</v>
      </c>
    </row>
    <row r="76" spans="2:3">
      <c r="B76" t="e">
        <f>INDEX(#REF!,$M$2,2)</f>
        <v>#REF!</v>
      </c>
      <c r="C76" t="e">
        <f>INDEX(#REF!,$M$2,5)</f>
        <v>#REF!</v>
      </c>
    </row>
    <row r="77" spans="2:3">
      <c r="B77" t="e">
        <f>INDEX(#REF!,$M$2,2)</f>
        <v>#REF!</v>
      </c>
      <c r="C77" t="e">
        <f>INDEX(#REF!,$M$2,5)</f>
        <v>#REF!</v>
      </c>
    </row>
    <row r="78" spans="2:3">
      <c r="B78" t="e">
        <f>INDEX(#REF!,$M$2,2)</f>
        <v>#REF!</v>
      </c>
      <c r="C78" t="e">
        <f>INDEX(#REF!,$M$2,5)</f>
        <v>#REF!</v>
      </c>
    </row>
    <row r="79" spans="2:3">
      <c r="B79" t="e">
        <f>INDEX(#REF!,$M$2,2)</f>
        <v>#REF!</v>
      </c>
      <c r="C79" t="e">
        <f>INDEX(#REF!,$M$2,5)</f>
        <v>#REF!</v>
      </c>
    </row>
    <row r="80" spans="2:3">
      <c r="B80" t="e">
        <f>INDEX(#REF!,$M$2,2)</f>
        <v>#REF!</v>
      </c>
      <c r="C80" t="e">
        <f>INDEX(#REF!,$M$2,5)</f>
        <v>#REF!</v>
      </c>
    </row>
    <row r="81" spans="2:3">
      <c r="B81" t="e">
        <f>INDEX(#REF!,$M$2,2)</f>
        <v>#REF!</v>
      </c>
      <c r="C81" t="e">
        <f>INDEX(#REF!,$M$2,5)</f>
        <v>#REF!</v>
      </c>
    </row>
    <row r="82" spans="2:3">
      <c r="B82" t="e">
        <f>INDEX(#REF!,$M$2,2)</f>
        <v>#REF!</v>
      </c>
      <c r="C82" t="e">
        <f>INDEX(#REF!,$M$2,5)</f>
        <v>#REF!</v>
      </c>
    </row>
    <row r="83" spans="2:3">
      <c r="B83" t="e">
        <f>INDEX(#REF!,$M$2,2)</f>
        <v>#REF!</v>
      </c>
      <c r="C83" t="e">
        <f>INDEX(#REF!,$M$2,5)</f>
        <v>#REF!</v>
      </c>
    </row>
    <row r="84" spans="2:3">
      <c r="B84" t="e">
        <f>INDEX(#REF!,$M$2,2)</f>
        <v>#REF!</v>
      </c>
      <c r="C84" t="e">
        <f>INDEX(#REF!,$M$2,5)</f>
        <v>#REF!</v>
      </c>
    </row>
    <row r="85" spans="2:3">
      <c r="B85" t="e">
        <f>INDEX(#REF!,$M$2,2)</f>
        <v>#REF!</v>
      </c>
      <c r="C85" t="e">
        <f>INDEX(#REF!,$M$2,5)</f>
        <v>#REF!</v>
      </c>
    </row>
    <row r="86" spans="2:3">
      <c r="B86" t="e">
        <f>INDEX(#REF!,$M$2,2)</f>
        <v>#REF!</v>
      </c>
      <c r="C86" t="e">
        <f>INDEX(#REF!,$M$2,5)</f>
        <v>#REF!</v>
      </c>
    </row>
    <row r="87" spans="2:3">
      <c r="B87" t="e">
        <f>INDEX(#REF!,$M$2,2)</f>
        <v>#REF!</v>
      </c>
      <c r="C87" t="e">
        <f>INDEX(#REF!,$M$2,5)</f>
        <v>#REF!</v>
      </c>
    </row>
    <row r="88" spans="2:3">
      <c r="B88" t="e">
        <f>INDEX(#REF!,$M$2,2)</f>
        <v>#REF!</v>
      </c>
      <c r="C88" t="e">
        <f>INDEX(#REF!,$M$2,5)</f>
        <v>#REF!</v>
      </c>
    </row>
    <row r="89" spans="2:3">
      <c r="B89" t="e">
        <f>INDEX(#REF!,$M$2,2)</f>
        <v>#REF!</v>
      </c>
      <c r="C89" t="e">
        <f>INDEX(#REF!,$M$2,5)</f>
        <v>#REF!</v>
      </c>
    </row>
    <row r="90" spans="2:3">
      <c r="B90" t="e">
        <f>INDEX(#REF!,$M$2,2)</f>
        <v>#REF!</v>
      </c>
      <c r="C90" t="e">
        <f>INDEX(#REF!,$M$2,5)</f>
        <v>#REF!</v>
      </c>
    </row>
    <row r="91" spans="2:3">
      <c r="B91" t="e">
        <f>INDEX(#REF!,$M$2,2)</f>
        <v>#REF!</v>
      </c>
      <c r="C91" t="e">
        <f>INDEX(#REF!,$M$2,5)</f>
        <v>#REF!</v>
      </c>
    </row>
    <row r="92" spans="2:3">
      <c r="B92" t="e">
        <f>INDEX(#REF!,$M$2,2)</f>
        <v>#REF!</v>
      </c>
      <c r="C92" t="e">
        <f>INDEX(#REF!,$M$2,5)</f>
        <v>#REF!</v>
      </c>
    </row>
    <row r="93" spans="2:3">
      <c r="B93" t="e">
        <f>INDEX(#REF!,$M$2,2)</f>
        <v>#REF!</v>
      </c>
      <c r="C93" t="e">
        <f>INDEX(#REF!,$M$2,5)</f>
        <v>#REF!</v>
      </c>
    </row>
    <row r="94" spans="2:3">
      <c r="B94" t="e">
        <f>INDEX(#REF!,$M$2,2)</f>
        <v>#REF!</v>
      </c>
      <c r="C94" t="e">
        <f>INDEX(#REF!,$M$2,5)</f>
        <v>#REF!</v>
      </c>
    </row>
    <row r="95" spans="2:3">
      <c r="B95" t="e">
        <f>INDEX(#REF!,$M$2,2)</f>
        <v>#REF!</v>
      </c>
      <c r="C95" t="e">
        <f>INDEX(#REF!,$M$2,5)</f>
        <v>#REF!</v>
      </c>
    </row>
    <row r="96" spans="2:3">
      <c r="B96" t="e">
        <f>INDEX(#REF!,$M$2,2)</f>
        <v>#REF!</v>
      </c>
      <c r="C96" t="e">
        <f>INDEX(#REF!,$M$2,5)</f>
        <v>#REF!</v>
      </c>
    </row>
    <row r="97" spans="2:3">
      <c r="B97" t="e">
        <f>INDEX(#REF!,$M$2,2)</f>
        <v>#REF!</v>
      </c>
      <c r="C97" t="e">
        <f>INDEX(#REF!,$M$2,5)</f>
        <v>#REF!</v>
      </c>
    </row>
    <row r="98" spans="2:3">
      <c r="B98" t="e">
        <f>INDEX(#REF!,$M$2,2)</f>
        <v>#REF!</v>
      </c>
      <c r="C98" t="e">
        <f>INDEX(#REF!,$M$2,5)</f>
        <v>#REF!</v>
      </c>
    </row>
    <row r="99" spans="2:3">
      <c r="B99" t="e">
        <f>INDEX(#REF!,$M$2,2)</f>
        <v>#REF!</v>
      </c>
      <c r="C99" t="e">
        <f>INDEX(#REF!,$M$2,5)</f>
        <v>#REF!</v>
      </c>
    </row>
    <row r="100" spans="2:3">
      <c r="B100" t="e">
        <f>INDEX(#REF!,$M$2,2)</f>
        <v>#REF!</v>
      </c>
      <c r="C100" t="e">
        <f>INDEX(#REF!,$M$2,5)</f>
        <v>#REF!</v>
      </c>
    </row>
    <row r="101" spans="2:3">
      <c r="B101" t="e">
        <f>INDEX(#REF!,$M$2,2)</f>
        <v>#REF!</v>
      </c>
      <c r="C101" t="e">
        <f>INDEX(#REF!,$M$2,5)</f>
        <v>#REF!</v>
      </c>
    </row>
    <row r="102" spans="2:3">
      <c r="B102" t="e">
        <f>INDEX(#REF!,$M$2,2)</f>
        <v>#REF!</v>
      </c>
      <c r="C102" t="e">
        <f>INDEX(#REF!,$M$2,5)</f>
        <v>#REF!</v>
      </c>
    </row>
    <row r="103" spans="2:3">
      <c r="B103" t="e">
        <f>INDEX(#REF!,$M$2,2)</f>
        <v>#REF!</v>
      </c>
      <c r="C103" t="e">
        <f>INDEX(#REF!,$M$2,5)</f>
        <v>#REF!</v>
      </c>
    </row>
    <row r="104" spans="2:3">
      <c r="B104" t="e">
        <f>INDEX(#REF!,$M$2,2)</f>
        <v>#REF!</v>
      </c>
      <c r="C104" t="e">
        <f>INDEX(#REF!,$M$2,5)</f>
        <v>#REF!</v>
      </c>
    </row>
    <row r="105" spans="2:3">
      <c r="B105" t="e">
        <f>INDEX(#REF!,$M$2,2)</f>
        <v>#REF!</v>
      </c>
      <c r="C105" t="e">
        <f>INDEX(#REF!,$M$2,5)</f>
        <v>#REF!</v>
      </c>
    </row>
    <row r="106" spans="2:3">
      <c r="B106" t="e">
        <f>INDEX(#REF!,$M$2,2)</f>
        <v>#REF!</v>
      </c>
      <c r="C106" t="e">
        <f>INDEX(#REF!,$M$2,5)</f>
        <v>#REF!</v>
      </c>
    </row>
    <row r="107" spans="2:3">
      <c r="B107" t="e">
        <f>INDEX(#REF!,$M$2,2)</f>
        <v>#REF!</v>
      </c>
      <c r="C107" t="e">
        <f>INDEX(#REF!,$M$2,5)</f>
        <v>#REF!</v>
      </c>
    </row>
    <row r="108" spans="2:3">
      <c r="B108" t="e">
        <f>INDEX(#REF!,$M$2,2)</f>
        <v>#REF!</v>
      </c>
      <c r="C108" t="e">
        <f>INDEX(#REF!,$M$2,5)</f>
        <v>#REF!</v>
      </c>
    </row>
    <row r="109" spans="2:3">
      <c r="B109" t="e">
        <f>INDEX(#REF!,$M$2,2)</f>
        <v>#REF!</v>
      </c>
      <c r="C109" t="e">
        <f>INDEX(#REF!,$M$2,5)</f>
        <v>#REF!</v>
      </c>
    </row>
    <row r="110" spans="2:3">
      <c r="B110" t="e">
        <f>INDEX(#REF!,$M$2,2)</f>
        <v>#REF!</v>
      </c>
      <c r="C110" t="e">
        <f>INDEX(#REF!,$M$2,5)</f>
        <v>#REF!</v>
      </c>
    </row>
    <row r="111" spans="2:3">
      <c r="B111" t="e">
        <f>INDEX(#REF!,$M$2,2)</f>
        <v>#REF!</v>
      </c>
      <c r="C111" t="e">
        <f>INDEX(#REF!,$M$2,5)</f>
        <v>#REF!</v>
      </c>
    </row>
    <row r="112" spans="2:3">
      <c r="B112" t="e">
        <f>INDEX(#REF!,$M$2,2)</f>
        <v>#REF!</v>
      </c>
      <c r="C112" t="e">
        <f>INDEX(#REF!,$M$2,5)</f>
        <v>#REF!</v>
      </c>
    </row>
    <row r="113" spans="2:3">
      <c r="B113" t="e">
        <f>INDEX(#REF!,$M$2,2)</f>
        <v>#REF!</v>
      </c>
      <c r="C113" t="e">
        <f>INDEX(#REF!,$M$2,5)</f>
        <v>#REF!</v>
      </c>
    </row>
    <row r="114" spans="2:3">
      <c r="B114" t="e">
        <f>INDEX(#REF!,$M$2,2)</f>
        <v>#REF!</v>
      </c>
      <c r="C114" t="e">
        <f>INDEX(#REF!,$M$2,5)</f>
        <v>#REF!</v>
      </c>
    </row>
    <row r="115" spans="2:3">
      <c r="B115" t="e">
        <f>INDEX(#REF!,$M$2,2)</f>
        <v>#REF!</v>
      </c>
      <c r="C115" t="e">
        <f>INDEX(#REF!,$M$2,5)</f>
        <v>#REF!</v>
      </c>
    </row>
    <row r="116" spans="2:3">
      <c r="B116" t="e">
        <f>INDEX(#REF!,$M$2,2)</f>
        <v>#REF!</v>
      </c>
      <c r="C116" t="e">
        <f>INDEX(#REF!,$M$2,5)</f>
        <v>#REF!</v>
      </c>
    </row>
    <row r="117" spans="2:3">
      <c r="B117" t="e">
        <f>INDEX(#REF!,$M$2,2)</f>
        <v>#REF!</v>
      </c>
      <c r="C117" t="e">
        <f>INDEX(#REF!,$M$2,5)</f>
        <v>#REF!</v>
      </c>
    </row>
    <row r="118" spans="2:3">
      <c r="B118" t="e">
        <f>INDEX(#REF!,$M$2,2)</f>
        <v>#REF!</v>
      </c>
      <c r="C118" t="e">
        <f>INDEX(#REF!,$M$2,5)</f>
        <v>#REF!</v>
      </c>
    </row>
    <row r="119" spans="2:3">
      <c r="B119" t="e">
        <f>INDEX(#REF!,$M$2,2)</f>
        <v>#REF!</v>
      </c>
      <c r="C119" t="e">
        <f>INDEX(#REF!,$M$2,5)</f>
        <v>#REF!</v>
      </c>
    </row>
    <row r="120" spans="2:3">
      <c r="B120" t="e">
        <f>INDEX(#REF!,$M$2,2)</f>
        <v>#REF!</v>
      </c>
      <c r="C120" t="e">
        <f>INDEX(#REF!,$M$2,5)</f>
        <v>#REF!</v>
      </c>
    </row>
    <row r="121" spans="2:3">
      <c r="B121" t="e">
        <f>INDEX(#REF!,$M$2,2)</f>
        <v>#REF!</v>
      </c>
      <c r="C121" t="e">
        <f>INDEX(#REF!,$M$2,5)</f>
        <v>#REF!</v>
      </c>
    </row>
    <row r="122" spans="2:3">
      <c r="B122" t="e">
        <f>INDEX(#REF!,$M$2,2)</f>
        <v>#REF!</v>
      </c>
      <c r="C122" t="e">
        <f>INDEX(#REF!,$M$2,5)</f>
        <v>#REF!</v>
      </c>
    </row>
    <row r="123" spans="2:3">
      <c r="B123" t="e">
        <f>INDEX(#REF!,$M$2,2)</f>
        <v>#REF!</v>
      </c>
      <c r="C123" t="e">
        <f>INDEX(#REF!,$M$2,5)</f>
        <v>#REF!</v>
      </c>
    </row>
    <row r="124" spans="2:3">
      <c r="B124" t="e">
        <f>INDEX(#REF!,$M$2,2)</f>
        <v>#REF!</v>
      </c>
      <c r="C124" t="e">
        <f>INDEX(#REF!,$M$2,5)</f>
        <v>#REF!</v>
      </c>
    </row>
    <row r="125" spans="2:3">
      <c r="B125" t="e">
        <f>INDEX(#REF!,$M$2,2)</f>
        <v>#REF!</v>
      </c>
      <c r="C125" t="e">
        <f>INDEX(#REF!,$M$2,5)</f>
        <v>#REF!</v>
      </c>
    </row>
    <row r="126" spans="2:3">
      <c r="B126" t="e">
        <f>INDEX(#REF!,$M$2,2)</f>
        <v>#REF!</v>
      </c>
      <c r="C126" t="e">
        <f>INDEX(#REF!,$M$2,5)</f>
        <v>#REF!</v>
      </c>
    </row>
    <row r="127" spans="2:3">
      <c r="B127" t="e">
        <f>INDEX(#REF!,$M$2,2)</f>
        <v>#REF!</v>
      </c>
      <c r="C127" t="e">
        <f>INDEX(#REF!,$M$2,5)</f>
        <v>#REF!</v>
      </c>
    </row>
    <row r="128" spans="2:3">
      <c r="B128" t="e">
        <f>INDEX(#REF!,$M$2,2)</f>
        <v>#REF!</v>
      </c>
      <c r="C128" t="e">
        <f>INDEX(#REF!,$M$2,5)</f>
        <v>#REF!</v>
      </c>
    </row>
    <row r="129" spans="2:3">
      <c r="B129" t="e">
        <f>INDEX(#REF!,$M$2,2)</f>
        <v>#REF!</v>
      </c>
      <c r="C129" t="e">
        <f>INDEX(#REF!,$M$2,5)</f>
        <v>#REF!</v>
      </c>
    </row>
    <row r="130" spans="2:3">
      <c r="B130" t="e">
        <f>INDEX(#REF!,$M$2,2)</f>
        <v>#REF!</v>
      </c>
      <c r="C130" t="e">
        <f>INDEX(#REF!,$M$2,5)</f>
        <v>#REF!</v>
      </c>
    </row>
    <row r="131" spans="2:3">
      <c r="B131" t="e">
        <f>INDEX(#REF!,$M$2,2)</f>
        <v>#REF!</v>
      </c>
      <c r="C131" t="e">
        <f>INDEX(#REF!,$M$2,5)</f>
        <v>#REF!</v>
      </c>
    </row>
    <row r="132" spans="2:3">
      <c r="B132" t="e">
        <f>INDEX(#REF!,$M$2,2)</f>
        <v>#REF!</v>
      </c>
      <c r="C132" t="e">
        <f>INDEX(#REF!,$M$2,5)</f>
        <v>#REF!</v>
      </c>
    </row>
    <row r="133" spans="2:3">
      <c r="B133" t="e">
        <f>INDEX(#REF!,$M$2,2)</f>
        <v>#REF!</v>
      </c>
      <c r="C133" t="e">
        <f>INDEX(#REF!,$M$2,5)</f>
        <v>#REF!</v>
      </c>
    </row>
    <row r="134" spans="2:3">
      <c r="B134" t="e">
        <f>INDEX(#REF!,$M$2,2)</f>
        <v>#REF!</v>
      </c>
      <c r="C134" t="e">
        <f>INDEX(#REF!,$M$2,5)</f>
        <v>#REF!</v>
      </c>
    </row>
    <row r="135" spans="2:3">
      <c r="B135" t="e">
        <f>INDEX(#REF!,$M$2,2)</f>
        <v>#REF!</v>
      </c>
      <c r="C135" t="e">
        <f>INDEX(#REF!,$M$2,5)</f>
        <v>#REF!</v>
      </c>
    </row>
    <row r="136" spans="2:3">
      <c r="B136" t="e">
        <f>INDEX(#REF!,$M$2,2)</f>
        <v>#REF!</v>
      </c>
      <c r="C136" t="e">
        <f>INDEX(#REF!,$M$2,5)</f>
        <v>#REF!</v>
      </c>
    </row>
    <row r="137" spans="2:3">
      <c r="B137" t="e">
        <f>INDEX(#REF!,$M$2,2)</f>
        <v>#REF!</v>
      </c>
      <c r="C137" t="e">
        <f>INDEX(#REF!,$M$2,5)</f>
        <v>#REF!</v>
      </c>
    </row>
    <row r="138" spans="2:3">
      <c r="B138" t="e">
        <f>INDEX(#REF!,$M$2,2)</f>
        <v>#REF!</v>
      </c>
      <c r="C138" t="e">
        <f>INDEX(#REF!,$M$2,5)</f>
        <v>#REF!</v>
      </c>
    </row>
    <row r="139" spans="2:3">
      <c r="B139" t="e">
        <f>INDEX(#REF!,$M$2,2)</f>
        <v>#REF!</v>
      </c>
      <c r="C139" t="e">
        <f>INDEX(#REF!,$M$2,5)</f>
        <v>#REF!</v>
      </c>
    </row>
    <row r="140" spans="2:3">
      <c r="B140" t="e">
        <f>INDEX(#REF!,$M$2,2)</f>
        <v>#REF!</v>
      </c>
      <c r="C140" t="e">
        <f>INDEX(#REF!,$M$2,5)</f>
        <v>#REF!</v>
      </c>
    </row>
    <row r="141" spans="2:3">
      <c r="B141" t="e">
        <f>INDEX(#REF!,$M$2,2)</f>
        <v>#REF!</v>
      </c>
      <c r="C141" t="e">
        <f>INDEX(#REF!,$M$2,5)</f>
        <v>#REF!</v>
      </c>
    </row>
    <row r="142" spans="2:3">
      <c r="B142" t="e">
        <f>INDEX(#REF!,$M$2,2)</f>
        <v>#REF!</v>
      </c>
      <c r="C142" t="e">
        <f>INDEX(#REF!,$M$2,5)</f>
        <v>#REF!</v>
      </c>
    </row>
    <row r="143" spans="2:3">
      <c r="B143" t="e">
        <f>INDEX(#REF!,$M$2,2)</f>
        <v>#REF!</v>
      </c>
      <c r="C143" t="e">
        <f>INDEX(#REF!,$M$2,5)</f>
        <v>#REF!</v>
      </c>
    </row>
    <row r="144" spans="2:3">
      <c r="B144" t="e">
        <f>INDEX(#REF!,$M$2,2)</f>
        <v>#REF!</v>
      </c>
      <c r="C144" t="e">
        <f>INDEX(#REF!,$M$2,5)</f>
        <v>#REF!</v>
      </c>
    </row>
    <row r="145" spans="2:3">
      <c r="B145" t="e">
        <f>INDEX(#REF!,$M$2,2)</f>
        <v>#REF!</v>
      </c>
      <c r="C145" t="e">
        <f>INDEX(#REF!,$M$2,5)</f>
        <v>#REF!</v>
      </c>
    </row>
    <row r="146" spans="2:3">
      <c r="B146" t="e">
        <f>INDEX(#REF!,$M$2,2)</f>
        <v>#REF!</v>
      </c>
      <c r="C146" t="e">
        <f>INDEX(#REF!,$M$2,5)</f>
        <v>#REF!</v>
      </c>
    </row>
    <row r="147" spans="2:3">
      <c r="B147" t="e">
        <f>INDEX(#REF!,$M$2,2)</f>
        <v>#REF!</v>
      </c>
      <c r="C147" t="e">
        <f>INDEX(#REF!,$M$2,5)</f>
        <v>#REF!</v>
      </c>
    </row>
    <row r="148" spans="2:3">
      <c r="B148" t="e">
        <f>INDEX(#REF!,$M$2,2)</f>
        <v>#REF!</v>
      </c>
      <c r="C148" t="e">
        <f>INDEX(#REF!,$M$2,5)</f>
        <v>#REF!</v>
      </c>
    </row>
    <row r="149" spans="2:3">
      <c r="B149" t="e">
        <f>INDEX(#REF!,$M$2,2)</f>
        <v>#REF!</v>
      </c>
      <c r="C149" t="e">
        <f>INDEX(#REF!,$M$2,5)</f>
        <v>#REF!</v>
      </c>
    </row>
    <row r="150" spans="2:3">
      <c r="B150" t="e">
        <f>INDEX(#REF!,$M$2,2)</f>
        <v>#REF!</v>
      </c>
      <c r="C150" t="e">
        <f>INDEX(#REF!,$M$2,5)</f>
        <v>#REF!</v>
      </c>
    </row>
    <row r="151" spans="2:3">
      <c r="B151" t="e">
        <f>INDEX(#REF!,$M$2,2)</f>
        <v>#REF!</v>
      </c>
      <c r="C151" t="e">
        <f>INDEX(#REF!,$M$2,5)</f>
        <v>#REF!</v>
      </c>
    </row>
    <row r="152" spans="2:3">
      <c r="B152" t="e">
        <f>INDEX(#REF!,$M$2,2)</f>
        <v>#REF!</v>
      </c>
      <c r="C152" t="e">
        <f>INDEX(#REF!,$M$2,5)</f>
        <v>#REF!</v>
      </c>
    </row>
    <row r="153" spans="2:3">
      <c r="B153" t="e">
        <f>INDEX(#REF!,$M$2,2)</f>
        <v>#REF!</v>
      </c>
      <c r="C153" t="e">
        <f>INDEX(#REF!,$M$2,5)</f>
        <v>#REF!</v>
      </c>
    </row>
    <row r="154" spans="2:3">
      <c r="B154" t="e">
        <f>INDEX(#REF!,$M$2,2)</f>
        <v>#REF!</v>
      </c>
      <c r="C154" t="e">
        <f>INDEX(#REF!,$M$2,5)</f>
        <v>#REF!</v>
      </c>
    </row>
    <row r="155" spans="2:3">
      <c r="B155" t="e">
        <f>INDEX(#REF!,$M$2,2)</f>
        <v>#REF!</v>
      </c>
      <c r="C155" t="e">
        <f>INDEX(#REF!,$M$2,5)</f>
        <v>#REF!</v>
      </c>
    </row>
    <row r="156" spans="2:3">
      <c r="B156" t="e">
        <f>INDEX(#REF!,$M$2,2)</f>
        <v>#REF!</v>
      </c>
      <c r="C156" t="e">
        <f>INDEX(#REF!,$M$2,5)</f>
        <v>#REF!</v>
      </c>
    </row>
    <row r="157" spans="2:3">
      <c r="B157" t="e">
        <f>INDEX(#REF!,$M$2,2)</f>
        <v>#REF!</v>
      </c>
      <c r="C157" t="e">
        <f>INDEX(#REF!,$M$2,5)</f>
        <v>#REF!</v>
      </c>
    </row>
    <row r="158" spans="2:3">
      <c r="B158" t="e">
        <f>INDEX(#REF!,$M$2,2)</f>
        <v>#REF!</v>
      </c>
      <c r="C158" t="e">
        <f>INDEX(#REF!,$M$2,5)</f>
        <v>#REF!</v>
      </c>
    </row>
    <row r="159" spans="2:3">
      <c r="B159" t="e">
        <f>INDEX(#REF!,$M$2,2)</f>
        <v>#REF!</v>
      </c>
      <c r="C159" t="e">
        <f>INDEX(#REF!,$M$2,5)</f>
        <v>#REF!</v>
      </c>
    </row>
    <row r="160" spans="2:3">
      <c r="B160" t="e">
        <f>INDEX(#REF!,$M$2,2)</f>
        <v>#REF!</v>
      </c>
      <c r="C160" t="e">
        <f>INDEX(#REF!,$M$2,5)</f>
        <v>#REF!</v>
      </c>
    </row>
    <row r="161" spans="2:3">
      <c r="B161" t="e">
        <f>INDEX(#REF!,$M$2,2)</f>
        <v>#REF!</v>
      </c>
      <c r="C161" t="e">
        <f>INDEX(#REF!,$M$2,5)</f>
        <v>#REF!</v>
      </c>
    </row>
    <row r="162" spans="2:3">
      <c r="B162" t="e">
        <f>INDEX(#REF!,$M$2,2)</f>
        <v>#REF!</v>
      </c>
      <c r="C162" t="e">
        <f>INDEX(#REF!,$M$2,5)</f>
        <v>#REF!</v>
      </c>
    </row>
    <row r="163" spans="2:3">
      <c r="B163" t="e">
        <f>INDEX(#REF!,$M$2,2)</f>
        <v>#REF!</v>
      </c>
      <c r="C163" t="e">
        <f>INDEX(#REF!,$M$2,5)</f>
        <v>#REF!</v>
      </c>
    </row>
    <row r="164" spans="2:3">
      <c r="B164" t="e">
        <f>INDEX(#REF!,$M$2,2)</f>
        <v>#REF!</v>
      </c>
      <c r="C164" t="e">
        <f>INDEX(#REF!,$M$2,5)</f>
        <v>#REF!</v>
      </c>
    </row>
    <row r="165" spans="2:3">
      <c r="B165" t="e">
        <f>INDEX(#REF!,$M$2,2)</f>
        <v>#REF!</v>
      </c>
      <c r="C165" t="e">
        <f>INDEX(#REF!,$M$2,5)</f>
        <v>#REF!</v>
      </c>
    </row>
    <row r="166" spans="2:3">
      <c r="B166" t="e">
        <f>INDEX(#REF!,$M$2,2)</f>
        <v>#REF!</v>
      </c>
      <c r="C166" t="e">
        <f>INDEX(#REF!,$M$2,5)</f>
        <v>#REF!</v>
      </c>
    </row>
    <row r="167" spans="2:3">
      <c r="B167" t="e">
        <f>INDEX(#REF!,$M$2,2)</f>
        <v>#REF!</v>
      </c>
      <c r="C167" t="e">
        <f>INDEX(#REF!,$M$2,5)</f>
        <v>#REF!</v>
      </c>
    </row>
    <row r="168" spans="2:3">
      <c r="B168" t="e">
        <f>INDEX(#REF!,$M$2,2)</f>
        <v>#REF!</v>
      </c>
      <c r="C168" t="e">
        <f>INDEX(#REF!,$M$2,5)</f>
        <v>#REF!</v>
      </c>
    </row>
    <row r="169" spans="2:3">
      <c r="B169" t="e">
        <f>INDEX(#REF!,$M$2,2)</f>
        <v>#REF!</v>
      </c>
      <c r="C169" t="e">
        <f>INDEX(#REF!,$M$2,5)</f>
        <v>#REF!</v>
      </c>
    </row>
    <row r="170" spans="2:3">
      <c r="B170" t="e">
        <f>INDEX(#REF!,$M$2,2)</f>
        <v>#REF!</v>
      </c>
      <c r="C170" t="e">
        <f>INDEX(#REF!,$M$2,5)</f>
        <v>#REF!</v>
      </c>
    </row>
    <row r="171" spans="2:3">
      <c r="B171" t="e">
        <f>INDEX(#REF!,$M$2,2)</f>
        <v>#REF!</v>
      </c>
      <c r="C171" t="e">
        <f>INDEX(#REF!,$M$2,5)</f>
        <v>#REF!</v>
      </c>
    </row>
    <row r="172" spans="2:3">
      <c r="B172" t="e">
        <f>INDEX(#REF!,$M$2,2)</f>
        <v>#REF!</v>
      </c>
      <c r="C172" t="e">
        <f>INDEX(#REF!,$M$2,5)</f>
        <v>#REF!</v>
      </c>
    </row>
    <row r="173" spans="2:3">
      <c r="B173" t="e">
        <f>INDEX(#REF!,$M$2,2)</f>
        <v>#REF!</v>
      </c>
      <c r="C173" t="e">
        <f>INDEX(#REF!,$M$2,5)</f>
        <v>#REF!</v>
      </c>
    </row>
    <row r="174" spans="2:3">
      <c r="B174" t="e">
        <f>INDEX(#REF!,$M$2,2)</f>
        <v>#REF!</v>
      </c>
      <c r="C174" t="e">
        <f>INDEX(#REF!,$M$2,5)</f>
        <v>#REF!</v>
      </c>
    </row>
    <row r="175" spans="2:3">
      <c r="B175" t="e">
        <f>INDEX(#REF!,$M$2,2)</f>
        <v>#REF!</v>
      </c>
      <c r="C175" t="e">
        <f>INDEX(#REF!,$M$2,5)</f>
        <v>#REF!</v>
      </c>
    </row>
    <row r="176" spans="2:3">
      <c r="B176" t="e">
        <f>INDEX(#REF!,$M$2,2)</f>
        <v>#REF!</v>
      </c>
      <c r="C176" t="e">
        <f>INDEX(#REF!,$M$2,5)</f>
        <v>#REF!</v>
      </c>
    </row>
    <row r="177" spans="2:3">
      <c r="B177" t="e">
        <f>INDEX(#REF!,$M$2,2)</f>
        <v>#REF!</v>
      </c>
      <c r="C177" t="e">
        <f>INDEX(#REF!,$M$2,5)</f>
        <v>#REF!</v>
      </c>
    </row>
    <row r="178" spans="2:3">
      <c r="B178" t="e">
        <f>INDEX(#REF!,$M$2,2)</f>
        <v>#REF!</v>
      </c>
      <c r="C178" t="e">
        <f>INDEX(#REF!,$M$2,5)</f>
        <v>#REF!</v>
      </c>
    </row>
    <row r="179" spans="2:3">
      <c r="B179" t="e">
        <f>INDEX(#REF!,$M$2,2)</f>
        <v>#REF!</v>
      </c>
      <c r="C179" t="e">
        <f>INDEX(#REF!,$M$2,5)</f>
        <v>#REF!</v>
      </c>
    </row>
    <row r="180" spans="2:3">
      <c r="B180" t="e">
        <f>INDEX(#REF!,$M$2,2)</f>
        <v>#REF!</v>
      </c>
      <c r="C180" t="e">
        <f>INDEX(#REF!,$M$2,5)</f>
        <v>#REF!</v>
      </c>
    </row>
    <row r="181" spans="2:3">
      <c r="B181" t="e">
        <f>INDEX(#REF!,$M$2,2)</f>
        <v>#REF!</v>
      </c>
      <c r="C181" t="e">
        <f>INDEX(#REF!,$M$2,5)</f>
        <v>#REF!</v>
      </c>
    </row>
    <row r="182" spans="2:3">
      <c r="B182" t="e">
        <f>INDEX(#REF!,$M$2,2)</f>
        <v>#REF!</v>
      </c>
      <c r="C182" t="e">
        <f>INDEX(#REF!,$M$2,5)</f>
        <v>#REF!</v>
      </c>
    </row>
    <row r="183" spans="2:3">
      <c r="B183" t="e">
        <f>INDEX(#REF!,$M$2,2)</f>
        <v>#REF!</v>
      </c>
      <c r="C183" t="e">
        <f>INDEX(#REF!,$M$2,5)</f>
        <v>#REF!</v>
      </c>
    </row>
    <row r="184" spans="2:3">
      <c r="B184" t="e">
        <f>INDEX(#REF!,$M$2,2)</f>
        <v>#REF!</v>
      </c>
      <c r="C184" t="e">
        <f>INDEX(#REF!,$M$2,5)</f>
        <v>#REF!</v>
      </c>
    </row>
    <row r="185" spans="2:3">
      <c r="B185" t="e">
        <f>INDEX(#REF!,$M$2,2)</f>
        <v>#REF!</v>
      </c>
      <c r="C185" t="e">
        <f>INDEX(#REF!,$M$2,5)</f>
        <v>#REF!</v>
      </c>
    </row>
    <row r="186" spans="2:3">
      <c r="B186" t="e">
        <f>INDEX(#REF!,$M$2,2)</f>
        <v>#REF!</v>
      </c>
      <c r="C186" t="e">
        <f>INDEX(#REF!,$M$2,5)</f>
        <v>#REF!</v>
      </c>
    </row>
    <row r="187" spans="2:3">
      <c r="B187" t="e">
        <f>INDEX(#REF!,$M$2,2)</f>
        <v>#REF!</v>
      </c>
      <c r="C187" t="e">
        <f>INDEX(#REF!,$M$2,5)</f>
        <v>#REF!</v>
      </c>
    </row>
    <row r="188" spans="2:3">
      <c r="B188" t="e">
        <f>INDEX(#REF!,$M$2,2)</f>
        <v>#REF!</v>
      </c>
      <c r="C188" t="e">
        <f>INDEX(#REF!,$M$2,5)</f>
        <v>#REF!</v>
      </c>
    </row>
    <row r="189" spans="2:3">
      <c r="B189" t="e">
        <f>INDEX(#REF!,$M$2,2)</f>
        <v>#REF!</v>
      </c>
      <c r="C189" t="e">
        <f>INDEX(#REF!,$M$2,5)</f>
        <v>#REF!</v>
      </c>
    </row>
    <row r="190" spans="2:3">
      <c r="B190" t="e">
        <f>INDEX(#REF!,$M$2,2)</f>
        <v>#REF!</v>
      </c>
      <c r="C190" t="e">
        <f>INDEX(#REF!,$M$2,5)</f>
        <v>#REF!</v>
      </c>
    </row>
    <row r="191" spans="2:3">
      <c r="B191" t="e">
        <f>INDEX(#REF!,$M$2,2)</f>
        <v>#REF!</v>
      </c>
      <c r="C191" t="e">
        <f>INDEX(#REF!,$M$2,5)</f>
        <v>#REF!</v>
      </c>
    </row>
    <row r="192" spans="2:3">
      <c r="B192" t="e">
        <f>INDEX(#REF!,$M$2,2)</f>
        <v>#REF!</v>
      </c>
      <c r="C192" t="e">
        <f>INDEX(#REF!,$M$2,5)</f>
        <v>#REF!</v>
      </c>
    </row>
    <row r="193" spans="2:3">
      <c r="B193" t="e">
        <f>INDEX(#REF!,$M$2,2)</f>
        <v>#REF!</v>
      </c>
      <c r="C193" t="e">
        <f>INDEX(#REF!,$M$2,5)</f>
        <v>#REF!</v>
      </c>
    </row>
    <row r="194" spans="2:3">
      <c r="B194" t="e">
        <f>INDEX(#REF!,$M$2,2)</f>
        <v>#REF!</v>
      </c>
      <c r="C194" t="e">
        <f>INDEX(#REF!,$M$2,5)</f>
        <v>#REF!</v>
      </c>
    </row>
    <row r="195" spans="2:3">
      <c r="B195" t="e">
        <f>INDEX(#REF!,$M$2,2)</f>
        <v>#REF!</v>
      </c>
      <c r="C195" t="e">
        <f>INDEX(#REF!,$M$2,5)</f>
        <v>#REF!</v>
      </c>
    </row>
    <row r="196" spans="2:3">
      <c r="B196" t="e">
        <f>INDEX(#REF!,$M$2,2)</f>
        <v>#REF!</v>
      </c>
      <c r="C196" t="e">
        <f>INDEX(#REF!,$M$2,5)</f>
        <v>#REF!</v>
      </c>
    </row>
    <row r="197" spans="2:3">
      <c r="B197" t="e">
        <f>INDEX(#REF!,$M$2,2)</f>
        <v>#REF!</v>
      </c>
      <c r="C197" t="e">
        <f>INDEX(#REF!,$M$2,5)</f>
        <v>#REF!</v>
      </c>
    </row>
    <row r="198" spans="2:3">
      <c r="B198" t="e">
        <f>INDEX(#REF!,$M$2,2)</f>
        <v>#REF!</v>
      </c>
      <c r="C198" t="e">
        <f>INDEX(#REF!,$M$2,5)</f>
        <v>#REF!</v>
      </c>
    </row>
    <row r="199" spans="2:3">
      <c r="B199" t="e">
        <f>INDEX(#REF!,$M$2,2)</f>
        <v>#REF!</v>
      </c>
      <c r="C199" t="e">
        <f>INDEX(#REF!,$M$2,5)</f>
        <v>#REF!</v>
      </c>
    </row>
    <row r="200" spans="2:3">
      <c r="B200" t="e">
        <f>INDEX(#REF!,$M$2,2)</f>
        <v>#REF!</v>
      </c>
      <c r="C200" t="e">
        <f>INDEX(#REF!,$M$2,5)</f>
        <v>#REF!</v>
      </c>
    </row>
    <row r="201" spans="2:3">
      <c r="B201" t="e">
        <f>INDEX(#REF!,$M$2,2)</f>
        <v>#REF!</v>
      </c>
      <c r="C201" t="e">
        <f>INDEX(#REF!,$M$2,5)</f>
        <v>#REF!</v>
      </c>
    </row>
    <row r="202" spans="2:3">
      <c r="B202" t="e">
        <f>INDEX(#REF!,$M$2,2)</f>
        <v>#REF!</v>
      </c>
      <c r="C202" t="e">
        <f>INDEX(#REF!,$M$2,5)</f>
        <v>#REF!</v>
      </c>
    </row>
    <row r="203" spans="2:3">
      <c r="B203" t="e">
        <f>INDEX(#REF!,$M$2,2)</f>
        <v>#REF!</v>
      </c>
      <c r="C203" t="e">
        <f>INDEX(#REF!,$M$2,5)</f>
        <v>#REF!</v>
      </c>
    </row>
    <row r="204" spans="2:3">
      <c r="B204" t="e">
        <f>INDEX(#REF!,$M$2,2)</f>
        <v>#REF!</v>
      </c>
      <c r="C204" t="e">
        <f>INDEX(#REF!,$M$2,5)</f>
        <v>#REF!</v>
      </c>
    </row>
    <row r="205" spans="2:3">
      <c r="B205" t="e">
        <f>INDEX(#REF!,$M$2,2)</f>
        <v>#REF!</v>
      </c>
      <c r="C205" t="e">
        <f>INDEX(#REF!,$M$2,5)</f>
        <v>#REF!</v>
      </c>
    </row>
    <row r="206" spans="2:3">
      <c r="B206" t="e">
        <f>INDEX(#REF!,$M$2,2)</f>
        <v>#REF!</v>
      </c>
      <c r="C206" t="e">
        <f>INDEX(#REF!,$M$2,5)</f>
        <v>#REF!</v>
      </c>
    </row>
    <row r="207" spans="2:3">
      <c r="B207" t="e">
        <f>INDEX(#REF!,$M$2,2)</f>
        <v>#REF!</v>
      </c>
      <c r="C207" t="e">
        <f>INDEX(#REF!,$M$2,5)</f>
        <v>#REF!</v>
      </c>
    </row>
    <row r="208" spans="2:3">
      <c r="B208" t="e">
        <f>INDEX(#REF!,$M$2,2)</f>
        <v>#REF!</v>
      </c>
      <c r="C208" t="e">
        <f>INDEX(#REF!,$M$2,5)</f>
        <v>#REF!</v>
      </c>
    </row>
    <row r="209" spans="2:3">
      <c r="B209" t="e">
        <f>INDEX(#REF!,$M$2,2)</f>
        <v>#REF!</v>
      </c>
      <c r="C209" t="e">
        <f>INDEX(#REF!,$M$2,5)</f>
        <v>#REF!</v>
      </c>
    </row>
    <row r="210" spans="2:3">
      <c r="B210" t="e">
        <f>INDEX(#REF!,$M$2,2)</f>
        <v>#REF!</v>
      </c>
      <c r="C210" t="e">
        <f>INDEX(#REF!,$M$2,5)</f>
        <v>#REF!</v>
      </c>
    </row>
    <row r="211" spans="2:3">
      <c r="B211" t="e">
        <f>INDEX(#REF!,$M$2,2)</f>
        <v>#REF!</v>
      </c>
      <c r="C211" t="e">
        <f>INDEX(#REF!,$M$2,5)</f>
        <v>#REF!</v>
      </c>
    </row>
    <row r="212" spans="2:3">
      <c r="B212" t="e">
        <f>INDEX(#REF!,$M$2,2)</f>
        <v>#REF!</v>
      </c>
      <c r="C212" t="e">
        <f>INDEX(#REF!,$M$2,5)</f>
        <v>#REF!</v>
      </c>
    </row>
    <row r="213" spans="2:3">
      <c r="B213" t="e">
        <f>INDEX(#REF!,$M$2,2)</f>
        <v>#REF!</v>
      </c>
      <c r="C213" t="e">
        <f>INDEX(#REF!,$M$2,5)</f>
        <v>#REF!</v>
      </c>
    </row>
    <row r="214" spans="2:3">
      <c r="B214" t="e">
        <f>INDEX(#REF!,$M$2,2)</f>
        <v>#REF!</v>
      </c>
      <c r="C214" t="e">
        <f>INDEX(#REF!,$M$2,5)</f>
        <v>#REF!</v>
      </c>
    </row>
    <row r="215" spans="2:3">
      <c r="B215" t="e">
        <f>INDEX(#REF!,$M$2,2)</f>
        <v>#REF!</v>
      </c>
      <c r="C215" t="e">
        <f>INDEX(#REF!,$M$2,5)</f>
        <v>#REF!</v>
      </c>
    </row>
    <row r="216" spans="2:3">
      <c r="B216" t="e">
        <f>INDEX(#REF!,$M$2,2)</f>
        <v>#REF!</v>
      </c>
      <c r="C216" t="e">
        <f>INDEX(#REF!,$M$2,5)</f>
        <v>#REF!</v>
      </c>
    </row>
    <row r="217" spans="2:3">
      <c r="B217" t="e">
        <f>INDEX(#REF!,$M$2,2)</f>
        <v>#REF!</v>
      </c>
      <c r="C217" t="e">
        <f>INDEX(#REF!,$M$2,5)</f>
        <v>#REF!</v>
      </c>
    </row>
    <row r="218" spans="2:3">
      <c r="B218" t="e">
        <f>INDEX(#REF!,$M$2,2)</f>
        <v>#REF!</v>
      </c>
      <c r="C218" t="e">
        <f>INDEX(#REF!,$M$2,5)</f>
        <v>#REF!</v>
      </c>
    </row>
    <row r="219" spans="2:3">
      <c r="B219" t="e">
        <f>INDEX(#REF!,$M$2,2)</f>
        <v>#REF!</v>
      </c>
      <c r="C219" t="e">
        <f>INDEX(#REF!,$M$2,5)</f>
        <v>#REF!</v>
      </c>
    </row>
    <row r="220" spans="2:3">
      <c r="B220" t="e">
        <f>INDEX(#REF!,$M$2,2)</f>
        <v>#REF!</v>
      </c>
      <c r="C220" t="e">
        <f>INDEX(#REF!,$M$2,5)</f>
        <v>#REF!</v>
      </c>
    </row>
    <row r="221" spans="2:3">
      <c r="B221" t="e">
        <f>INDEX(#REF!,$M$2,2)</f>
        <v>#REF!</v>
      </c>
      <c r="C221" t="e">
        <f>INDEX(#REF!,$M$2,5)</f>
        <v>#REF!</v>
      </c>
    </row>
    <row r="222" spans="2:3">
      <c r="B222" t="e">
        <f>INDEX(#REF!,$M$2,2)</f>
        <v>#REF!</v>
      </c>
      <c r="C222" t="e">
        <f>INDEX(#REF!,$M$2,5)</f>
        <v>#REF!</v>
      </c>
    </row>
    <row r="223" spans="2:3">
      <c r="B223" t="e">
        <f>INDEX(#REF!,$M$2,2)</f>
        <v>#REF!</v>
      </c>
      <c r="C223" t="e">
        <f>INDEX(#REF!,$M$2,5)</f>
        <v>#REF!</v>
      </c>
    </row>
    <row r="224" spans="2:3">
      <c r="B224" t="e">
        <f>INDEX(#REF!,$M$2,2)</f>
        <v>#REF!</v>
      </c>
      <c r="C224" t="e">
        <f>INDEX(#REF!,$M$2,5)</f>
        <v>#REF!</v>
      </c>
    </row>
    <row r="225" spans="2:3">
      <c r="B225" t="e">
        <f>INDEX(#REF!,$M$2,2)</f>
        <v>#REF!</v>
      </c>
      <c r="C225" t="e">
        <f>INDEX(#REF!,$M$2,5)</f>
        <v>#REF!</v>
      </c>
    </row>
    <row r="226" spans="2:3">
      <c r="B226" t="e">
        <f>INDEX(#REF!,$M$2,2)</f>
        <v>#REF!</v>
      </c>
      <c r="C226" t="e">
        <f>INDEX(#REF!,$M$2,5)</f>
        <v>#REF!</v>
      </c>
    </row>
    <row r="227" spans="2:3">
      <c r="B227" t="e">
        <f>INDEX(#REF!,$M$2,2)</f>
        <v>#REF!</v>
      </c>
      <c r="C227" t="e">
        <f>INDEX(#REF!,$M$2,5)</f>
        <v>#REF!</v>
      </c>
    </row>
    <row r="228" spans="2:3">
      <c r="B228" t="e">
        <f>INDEX(#REF!,$M$2,2)</f>
        <v>#REF!</v>
      </c>
      <c r="C228" t="e">
        <f>INDEX(#REF!,$M$2,5)</f>
        <v>#REF!</v>
      </c>
    </row>
    <row r="229" spans="2:3">
      <c r="B229" t="e">
        <f>INDEX(#REF!,$M$2,2)</f>
        <v>#REF!</v>
      </c>
      <c r="C229" t="e">
        <f>INDEX(#REF!,$M$2,5)</f>
        <v>#REF!</v>
      </c>
    </row>
    <row r="230" spans="2:3">
      <c r="B230" t="e">
        <f>INDEX(#REF!,$M$2,2)</f>
        <v>#REF!</v>
      </c>
      <c r="C230" t="e">
        <f>INDEX(#REF!,$M$2,5)</f>
        <v>#REF!</v>
      </c>
    </row>
    <row r="231" spans="2:3">
      <c r="B231" t="e">
        <f>INDEX(#REF!,$M$2,2)</f>
        <v>#REF!</v>
      </c>
      <c r="C231" t="e">
        <f>INDEX(#REF!,$M$2,5)</f>
        <v>#REF!</v>
      </c>
    </row>
    <row r="232" spans="2:3">
      <c r="B232" t="e">
        <f>INDEX(#REF!,$M$2,2)</f>
        <v>#REF!</v>
      </c>
      <c r="C232" t="e">
        <f>INDEX(#REF!,$M$2,5)</f>
        <v>#REF!</v>
      </c>
    </row>
    <row r="233" spans="2:3">
      <c r="B233" t="e">
        <f>INDEX(#REF!,$M$2,2)</f>
        <v>#REF!</v>
      </c>
      <c r="C233" t="e">
        <f>INDEX(#REF!,$M$2,5)</f>
        <v>#REF!</v>
      </c>
    </row>
    <row r="234" spans="2:3">
      <c r="B234" t="e">
        <f>INDEX(#REF!,$M$2,2)</f>
        <v>#REF!</v>
      </c>
      <c r="C234" t="e">
        <f>INDEX(#REF!,$M$2,5)</f>
        <v>#REF!</v>
      </c>
    </row>
    <row r="235" spans="2:3">
      <c r="B235" t="e">
        <f>INDEX(#REF!,$M$2,2)</f>
        <v>#REF!</v>
      </c>
      <c r="C235" t="e">
        <f>INDEX(#REF!,$M$2,5)</f>
        <v>#REF!</v>
      </c>
    </row>
    <row r="236" spans="2:3">
      <c r="B236" t="e">
        <f>INDEX(#REF!,$M$2,2)</f>
        <v>#REF!</v>
      </c>
      <c r="C236" t="e">
        <f>INDEX(#REF!,$M$2,5)</f>
        <v>#REF!</v>
      </c>
    </row>
    <row r="237" spans="2:3">
      <c r="B237" t="e">
        <f>INDEX(#REF!,$M$2,2)</f>
        <v>#REF!</v>
      </c>
      <c r="C237" t="e">
        <f>INDEX(#REF!,$M$2,5)</f>
        <v>#REF!</v>
      </c>
    </row>
    <row r="238" spans="2:3">
      <c r="B238" t="e">
        <f>INDEX(#REF!,$M$2,2)</f>
        <v>#REF!</v>
      </c>
      <c r="C238" t="e">
        <f>INDEX(#REF!,$M$2,5)</f>
        <v>#REF!</v>
      </c>
    </row>
    <row r="239" spans="2:3">
      <c r="B239" t="e">
        <f>INDEX(#REF!,$M$2,2)</f>
        <v>#REF!</v>
      </c>
      <c r="C239" t="e">
        <f>INDEX(#REF!,$M$2,5)</f>
        <v>#REF!</v>
      </c>
    </row>
    <row r="240" spans="2:3">
      <c r="B240" t="e">
        <f>INDEX(#REF!,$M$2,2)</f>
        <v>#REF!</v>
      </c>
      <c r="C240" t="e">
        <f>INDEX(#REF!,$M$2,5)</f>
        <v>#REF!</v>
      </c>
    </row>
    <row r="241" spans="2:3">
      <c r="B241" t="e">
        <f>INDEX(#REF!,$M$2,2)</f>
        <v>#REF!</v>
      </c>
      <c r="C241" t="e">
        <f>INDEX(#REF!,$M$2,5)</f>
        <v>#REF!</v>
      </c>
    </row>
    <row r="242" spans="2:3">
      <c r="B242" t="e">
        <f>INDEX(#REF!,$M$2,2)</f>
        <v>#REF!</v>
      </c>
      <c r="C242" t="e">
        <f>INDEX(#REF!,$M$2,5)</f>
        <v>#REF!</v>
      </c>
    </row>
    <row r="243" spans="2:3">
      <c r="B243" t="e">
        <f>INDEX(#REF!,$M$2,2)</f>
        <v>#REF!</v>
      </c>
      <c r="C243" t="e">
        <f>INDEX(#REF!,$M$2,5)</f>
        <v>#REF!</v>
      </c>
    </row>
    <row r="244" spans="2:3">
      <c r="B244" t="e">
        <f>INDEX(#REF!,$M$2,2)</f>
        <v>#REF!</v>
      </c>
      <c r="C244" t="e">
        <f>INDEX(#REF!,$M$2,5)</f>
        <v>#REF!</v>
      </c>
    </row>
    <row r="245" spans="2:3">
      <c r="B245" t="e">
        <f>INDEX(#REF!,$M$2,2)</f>
        <v>#REF!</v>
      </c>
      <c r="C245" t="e">
        <f>INDEX(#REF!,$M$2,5)</f>
        <v>#REF!</v>
      </c>
    </row>
    <row r="246" spans="2:3">
      <c r="B246" t="e">
        <f>INDEX(#REF!,$M$2,2)</f>
        <v>#REF!</v>
      </c>
      <c r="C246" t="e">
        <f>INDEX(#REF!,$M$2,5)</f>
        <v>#REF!</v>
      </c>
    </row>
    <row r="247" spans="2:3">
      <c r="B247" t="e">
        <f>INDEX(#REF!,$M$2,2)</f>
        <v>#REF!</v>
      </c>
      <c r="C247" t="e">
        <f>INDEX(#REF!,$M$2,5)</f>
        <v>#REF!</v>
      </c>
    </row>
    <row r="248" spans="2:3">
      <c r="B248" t="e">
        <f>INDEX(#REF!,$M$2,2)</f>
        <v>#REF!</v>
      </c>
      <c r="C248" t="e">
        <f>INDEX(#REF!,$M$2,5)</f>
        <v>#REF!</v>
      </c>
    </row>
    <row r="249" spans="2:3">
      <c r="B249" t="e">
        <f>INDEX(#REF!,$M$2,2)</f>
        <v>#REF!</v>
      </c>
      <c r="C249" t="e">
        <f>INDEX(#REF!,$M$2,5)</f>
        <v>#REF!</v>
      </c>
    </row>
    <row r="250" spans="2:3">
      <c r="B250" t="e">
        <f>INDEX(#REF!,$M$2,2)</f>
        <v>#REF!</v>
      </c>
      <c r="C250" t="e">
        <f>INDEX(#REF!,$M$2,5)</f>
        <v>#REF!</v>
      </c>
    </row>
    <row r="251" spans="2:3">
      <c r="B251" t="e">
        <f>INDEX(#REF!,$M$2,2)</f>
        <v>#REF!</v>
      </c>
      <c r="C251" t="e">
        <f>INDEX(#REF!,$M$2,5)</f>
        <v>#REF!</v>
      </c>
    </row>
    <row r="252" spans="2:3">
      <c r="B252" t="e">
        <f>INDEX(#REF!,$M$2,2)</f>
        <v>#REF!</v>
      </c>
      <c r="C252" t="e">
        <f>INDEX(#REF!,$M$2,5)</f>
        <v>#REF!</v>
      </c>
    </row>
    <row r="253" spans="2:3">
      <c r="B253" t="e">
        <f>INDEX(#REF!,$M$2,2)</f>
        <v>#REF!</v>
      </c>
      <c r="C253" t="e">
        <f>INDEX(#REF!,$M$2,5)</f>
        <v>#REF!</v>
      </c>
    </row>
    <row r="254" spans="2:3">
      <c r="B254" t="e">
        <f>INDEX(#REF!,$M$2,2)</f>
        <v>#REF!</v>
      </c>
      <c r="C254" t="e">
        <f>INDEX(#REF!,$M$2,5)</f>
        <v>#REF!</v>
      </c>
    </row>
    <row r="255" spans="2:3">
      <c r="B255" t="e">
        <f>INDEX(#REF!,$M$2,2)</f>
        <v>#REF!</v>
      </c>
      <c r="C255" t="e">
        <f>INDEX(#REF!,$M$2,5)</f>
        <v>#REF!</v>
      </c>
    </row>
    <row r="256" spans="2:3">
      <c r="B256" t="e">
        <f>INDEX(#REF!,$M$2,2)</f>
        <v>#REF!</v>
      </c>
      <c r="C256" t="e">
        <f>INDEX(#REF!,$M$2,5)</f>
        <v>#REF!</v>
      </c>
    </row>
    <row r="257" spans="2:3">
      <c r="B257" t="e">
        <f>INDEX(#REF!,$M$2,2)</f>
        <v>#REF!</v>
      </c>
      <c r="C257" t="e">
        <f>INDEX(#REF!,$M$2,5)</f>
        <v>#REF!</v>
      </c>
    </row>
    <row r="258" spans="2:3">
      <c r="B258" t="e">
        <f>INDEX(#REF!,$M$2,2)</f>
        <v>#REF!</v>
      </c>
      <c r="C258" t="e">
        <f>INDEX(#REF!,$M$2,5)</f>
        <v>#REF!</v>
      </c>
    </row>
    <row r="259" spans="2:3">
      <c r="B259" t="e">
        <f>INDEX(#REF!,$M$2,2)</f>
        <v>#REF!</v>
      </c>
      <c r="C259" t="e">
        <f>INDEX(#REF!,$M$2,5)</f>
        <v>#REF!</v>
      </c>
    </row>
    <row r="260" spans="2:3">
      <c r="B260" t="e">
        <f>INDEX(#REF!,$M$2,2)</f>
        <v>#REF!</v>
      </c>
      <c r="C260" t="e">
        <f>INDEX(#REF!,$M$2,5)</f>
        <v>#REF!</v>
      </c>
    </row>
    <row r="261" spans="2:3">
      <c r="B261" t="e">
        <f>INDEX(#REF!,$M$2,2)</f>
        <v>#REF!</v>
      </c>
      <c r="C261" t="e">
        <f>INDEX(#REF!,$M$2,5)</f>
        <v>#REF!</v>
      </c>
    </row>
    <row r="262" spans="2:3">
      <c r="B262" t="e">
        <f>INDEX(#REF!,$M$2,2)</f>
        <v>#REF!</v>
      </c>
      <c r="C262" t="e">
        <f>INDEX(#REF!,$M$2,5)</f>
        <v>#REF!</v>
      </c>
    </row>
    <row r="263" spans="2:3">
      <c r="B263" t="e">
        <f>INDEX(#REF!,$M$2,2)</f>
        <v>#REF!</v>
      </c>
      <c r="C263" t="e">
        <f>INDEX(#REF!,$M$2,5)</f>
        <v>#REF!</v>
      </c>
    </row>
    <row r="264" spans="2:3">
      <c r="B264" t="e">
        <f>INDEX(#REF!,$M$2,2)</f>
        <v>#REF!</v>
      </c>
      <c r="C264" t="e">
        <f>INDEX(#REF!,$M$2,5)</f>
        <v>#REF!</v>
      </c>
    </row>
    <row r="265" spans="2:3">
      <c r="B265" t="e">
        <f>INDEX(#REF!,$M$2,2)</f>
        <v>#REF!</v>
      </c>
      <c r="C265" t="e">
        <f>INDEX(#REF!,$M$2,5)</f>
        <v>#REF!</v>
      </c>
    </row>
    <row r="266" spans="2:3">
      <c r="B266" t="e">
        <f>INDEX(#REF!,$M$2,2)</f>
        <v>#REF!</v>
      </c>
      <c r="C266" t="e">
        <f>INDEX(#REF!,$M$2,5)</f>
        <v>#REF!</v>
      </c>
    </row>
    <row r="267" spans="2:3">
      <c r="B267" t="e">
        <f>INDEX(#REF!,$M$2,2)</f>
        <v>#REF!</v>
      </c>
      <c r="C267" t="e">
        <f>INDEX(#REF!,$M$2,5)</f>
        <v>#REF!</v>
      </c>
    </row>
    <row r="268" spans="2:3">
      <c r="B268" t="e">
        <f>INDEX(#REF!,$M$2,2)</f>
        <v>#REF!</v>
      </c>
      <c r="C268" t="e">
        <f>INDEX(#REF!,$M$2,5)</f>
        <v>#REF!</v>
      </c>
    </row>
    <row r="269" spans="2:3">
      <c r="B269" t="e">
        <f>INDEX(#REF!,$M$2,2)</f>
        <v>#REF!</v>
      </c>
      <c r="C269" t="e">
        <f>INDEX(#REF!,$M$2,5)</f>
        <v>#REF!</v>
      </c>
    </row>
    <row r="270" spans="2:3">
      <c r="B270" t="e">
        <f>INDEX(#REF!,$M$2,2)</f>
        <v>#REF!</v>
      </c>
      <c r="C270" t="e">
        <f>INDEX(#REF!,$M$2,5)</f>
        <v>#REF!</v>
      </c>
    </row>
    <row r="271" spans="2:3">
      <c r="B271" t="e">
        <f>INDEX(#REF!,$M$2,2)</f>
        <v>#REF!</v>
      </c>
      <c r="C271" t="e">
        <f>INDEX(#REF!,$M$2,5)</f>
        <v>#REF!</v>
      </c>
    </row>
    <row r="272" spans="2:3">
      <c r="B272" t="e">
        <f>INDEX(#REF!,$M$2,2)</f>
        <v>#REF!</v>
      </c>
      <c r="C272" t="e">
        <f>INDEX(#REF!,$M$2,5)</f>
        <v>#REF!</v>
      </c>
    </row>
    <row r="273" spans="2:3">
      <c r="B273" t="e">
        <f>INDEX(#REF!,$M$2,2)</f>
        <v>#REF!</v>
      </c>
      <c r="C273" t="e">
        <f>INDEX(#REF!,$M$2,5)</f>
        <v>#REF!</v>
      </c>
    </row>
    <row r="274" spans="2:3">
      <c r="B274" t="e">
        <f>INDEX(#REF!,$M$2,2)</f>
        <v>#REF!</v>
      </c>
      <c r="C274" t="e">
        <f>INDEX(#REF!,$M$2,5)</f>
        <v>#REF!</v>
      </c>
    </row>
    <row r="275" spans="2:3">
      <c r="B275" t="e">
        <f>INDEX(#REF!,$M$2,2)</f>
        <v>#REF!</v>
      </c>
      <c r="C275" t="e">
        <f>INDEX(#REF!,$M$2,5)</f>
        <v>#REF!</v>
      </c>
    </row>
    <row r="276" spans="2:3">
      <c r="B276" t="e">
        <f>INDEX(#REF!,$M$2,2)</f>
        <v>#REF!</v>
      </c>
      <c r="C276" t="e">
        <f>INDEX(#REF!,$M$2,5)</f>
        <v>#REF!</v>
      </c>
    </row>
    <row r="277" spans="2:3">
      <c r="B277" t="e">
        <f>INDEX(#REF!,$M$2,2)</f>
        <v>#REF!</v>
      </c>
      <c r="C277" t="e">
        <f>INDEX(#REF!,$M$2,5)</f>
        <v>#REF!</v>
      </c>
    </row>
    <row r="278" spans="2:3">
      <c r="B278" t="e">
        <f>INDEX(#REF!,$M$2,2)</f>
        <v>#REF!</v>
      </c>
      <c r="C278" t="e">
        <f>INDEX(#REF!,$M$2,5)</f>
        <v>#REF!</v>
      </c>
    </row>
    <row r="279" spans="2:3">
      <c r="B279" t="e">
        <f>INDEX(#REF!,$M$2,2)</f>
        <v>#REF!</v>
      </c>
      <c r="C279" t="e">
        <f>INDEX(#REF!,$M$2,5)</f>
        <v>#REF!</v>
      </c>
    </row>
    <row r="280" spans="2:3">
      <c r="B280" t="e">
        <f>INDEX(#REF!,$M$2,2)</f>
        <v>#REF!</v>
      </c>
      <c r="C280" t="e">
        <f>INDEX(#REF!,$M$2,5)</f>
        <v>#REF!</v>
      </c>
    </row>
    <row r="281" spans="2:3">
      <c r="B281" t="e">
        <f>INDEX(#REF!,$M$2,2)</f>
        <v>#REF!</v>
      </c>
      <c r="C281" t="e">
        <f>INDEX(#REF!,$M$2,5)</f>
        <v>#REF!</v>
      </c>
    </row>
    <row r="282" spans="2:3">
      <c r="B282" t="e">
        <f>INDEX(#REF!,$M$2,2)</f>
        <v>#REF!</v>
      </c>
      <c r="C282" t="e">
        <f>INDEX(#REF!,$M$2,5)</f>
        <v>#REF!</v>
      </c>
    </row>
    <row r="283" spans="2:3">
      <c r="B283" t="e">
        <f>INDEX(#REF!,$M$2,2)</f>
        <v>#REF!</v>
      </c>
      <c r="C283" t="e">
        <f>INDEX(#REF!,$M$2,5)</f>
        <v>#REF!</v>
      </c>
    </row>
    <row r="284" spans="2:3">
      <c r="B284" t="e">
        <f>INDEX(#REF!,$M$2,2)</f>
        <v>#REF!</v>
      </c>
      <c r="C284" t="e">
        <f>INDEX(#REF!,$M$2,5)</f>
        <v>#REF!</v>
      </c>
    </row>
    <row r="285" spans="2:3">
      <c r="B285" t="e">
        <f>INDEX(#REF!,$M$2,2)</f>
        <v>#REF!</v>
      </c>
      <c r="C285" t="e">
        <f>INDEX(#REF!,$M$2,5)</f>
        <v>#REF!</v>
      </c>
    </row>
    <row r="286" spans="2:3">
      <c r="B286" t="e">
        <f>INDEX(#REF!,$M$2,2)</f>
        <v>#REF!</v>
      </c>
      <c r="C286" t="e">
        <f>INDEX(#REF!,$M$2,5)</f>
        <v>#REF!</v>
      </c>
    </row>
    <row r="287" spans="2:3">
      <c r="B287" t="e">
        <f>INDEX(#REF!,$M$2,2)</f>
        <v>#REF!</v>
      </c>
      <c r="C287" t="e">
        <f>INDEX(#REF!,$M$2,5)</f>
        <v>#REF!</v>
      </c>
    </row>
    <row r="288" spans="2:3">
      <c r="B288" t="e">
        <f>INDEX(#REF!,$M$2,2)</f>
        <v>#REF!</v>
      </c>
      <c r="C288" t="e">
        <f>INDEX(#REF!,$M$2,5)</f>
        <v>#REF!</v>
      </c>
    </row>
    <row r="289" spans="2:3">
      <c r="B289" t="e">
        <f>INDEX(#REF!,$M$2,2)</f>
        <v>#REF!</v>
      </c>
      <c r="C289" t="e">
        <f>INDEX(#REF!,$M$2,5)</f>
        <v>#REF!</v>
      </c>
    </row>
    <row r="290" spans="2:3">
      <c r="B290" t="e">
        <f>INDEX(#REF!,$M$2,2)</f>
        <v>#REF!</v>
      </c>
      <c r="C290" t="e">
        <f>INDEX(#REF!,$M$2,5)</f>
        <v>#REF!</v>
      </c>
    </row>
    <row r="291" spans="2:3">
      <c r="B291" t="e">
        <f>INDEX(#REF!,$M$2,2)</f>
        <v>#REF!</v>
      </c>
      <c r="C291" t="e">
        <f>INDEX(#REF!,$M$2,5)</f>
        <v>#REF!</v>
      </c>
    </row>
    <row r="292" spans="2:3">
      <c r="B292" t="e">
        <f>INDEX(#REF!,$M$2,2)</f>
        <v>#REF!</v>
      </c>
      <c r="C292" t="e">
        <f>INDEX(#REF!,$M$2,5)</f>
        <v>#REF!</v>
      </c>
    </row>
    <row r="293" spans="2:3">
      <c r="B293" t="e">
        <f>INDEX(#REF!,$M$2,2)</f>
        <v>#REF!</v>
      </c>
      <c r="C293" t="e">
        <f>INDEX(#REF!,$M$2,5)</f>
        <v>#REF!</v>
      </c>
    </row>
    <row r="294" spans="2:3">
      <c r="B294" t="e">
        <f>INDEX(#REF!,$M$2,2)</f>
        <v>#REF!</v>
      </c>
      <c r="C294" t="e">
        <f>INDEX(#REF!,$M$2,5)</f>
        <v>#REF!</v>
      </c>
    </row>
    <row r="295" spans="2:3">
      <c r="B295" t="e">
        <f>INDEX(#REF!,$M$2,2)</f>
        <v>#REF!</v>
      </c>
      <c r="C295" t="e">
        <f>INDEX(#REF!,$M$2,5)</f>
        <v>#REF!</v>
      </c>
    </row>
    <row r="296" spans="2:3">
      <c r="B296" t="e">
        <f>INDEX(#REF!,$M$2,2)</f>
        <v>#REF!</v>
      </c>
      <c r="C296" t="e">
        <f>INDEX(#REF!,$M$2,5)</f>
        <v>#REF!</v>
      </c>
    </row>
    <row r="297" spans="2:3">
      <c r="B297" t="e">
        <f>INDEX(#REF!,$M$2,2)</f>
        <v>#REF!</v>
      </c>
      <c r="C297" t="e">
        <f>INDEX(#REF!,$M$2,5)</f>
        <v>#REF!</v>
      </c>
    </row>
    <row r="298" spans="2:3">
      <c r="B298" t="e">
        <f>INDEX(#REF!,$M$2,2)</f>
        <v>#REF!</v>
      </c>
      <c r="C298" t="e">
        <f>INDEX(#REF!,$M$2,5)</f>
        <v>#REF!</v>
      </c>
    </row>
    <row r="299" spans="2:3">
      <c r="B299" t="e">
        <f>INDEX(#REF!,$M$2,2)</f>
        <v>#REF!</v>
      </c>
      <c r="C299" t="e">
        <f>INDEX(#REF!,$M$2,5)</f>
        <v>#REF!</v>
      </c>
    </row>
    <row r="300" spans="2:3">
      <c r="B300" t="e">
        <f>INDEX(#REF!,$M$2,2)</f>
        <v>#REF!</v>
      </c>
      <c r="C300" t="e">
        <f>INDEX(#REF!,$M$2,5)</f>
        <v>#REF!</v>
      </c>
    </row>
    <row r="301" spans="2:3">
      <c r="B301" t="e">
        <f>INDEX(#REF!,$M$2,2)</f>
        <v>#REF!</v>
      </c>
      <c r="C301" t="e">
        <f>INDEX(#REF!,$M$2,5)</f>
        <v>#REF!</v>
      </c>
    </row>
    <row r="302" spans="2:3">
      <c r="B302" t="e">
        <f>INDEX(#REF!,$M$2,2)</f>
        <v>#REF!</v>
      </c>
      <c r="C302" t="e">
        <f>INDEX(#REF!,$M$2,5)</f>
        <v>#REF!</v>
      </c>
    </row>
    <row r="303" spans="2:3">
      <c r="B303" t="e">
        <f>INDEX(#REF!,$M$2,2)</f>
        <v>#REF!</v>
      </c>
      <c r="C303" t="e">
        <f>INDEX(#REF!,$M$2,5)</f>
        <v>#REF!</v>
      </c>
    </row>
    <row r="304" spans="2:3">
      <c r="B304" t="e">
        <f>INDEX(#REF!,$M$2,2)</f>
        <v>#REF!</v>
      </c>
      <c r="C304" t="e">
        <f>INDEX(#REF!,$M$2,5)</f>
        <v>#REF!</v>
      </c>
    </row>
    <row r="305" spans="2:3">
      <c r="B305" t="e">
        <f>INDEX(#REF!,$M$2,2)</f>
        <v>#REF!</v>
      </c>
      <c r="C305" t="e">
        <f>INDEX(#REF!,$M$2,5)</f>
        <v>#REF!</v>
      </c>
    </row>
    <row r="306" spans="2:3">
      <c r="B306" t="e">
        <f>INDEX(#REF!,$M$2,2)</f>
        <v>#REF!</v>
      </c>
      <c r="C306" t="e">
        <f>INDEX(#REF!,$M$2,5)</f>
        <v>#REF!</v>
      </c>
    </row>
    <row r="307" spans="2:3">
      <c r="B307" t="e">
        <f>INDEX(#REF!,$M$2,2)</f>
        <v>#REF!</v>
      </c>
      <c r="C307" t="e">
        <f>INDEX(#REF!,$M$2,5)</f>
        <v>#REF!</v>
      </c>
    </row>
    <row r="308" spans="2:3">
      <c r="B308" t="e">
        <f>INDEX(#REF!,$M$2,2)</f>
        <v>#REF!</v>
      </c>
      <c r="C308" t="e">
        <f>INDEX(#REF!,$M$2,5)</f>
        <v>#REF!</v>
      </c>
    </row>
    <row r="309" spans="2:3">
      <c r="B309" t="e">
        <f>INDEX(#REF!,$M$2,2)</f>
        <v>#REF!</v>
      </c>
      <c r="C309" t="e">
        <f>INDEX(#REF!,$M$2,5)</f>
        <v>#REF!</v>
      </c>
    </row>
    <row r="310" spans="2:3">
      <c r="B310" t="e">
        <f>INDEX(#REF!,$M$2,2)</f>
        <v>#REF!</v>
      </c>
      <c r="C310" t="e">
        <f>INDEX(#REF!,$M$2,5)</f>
        <v>#REF!</v>
      </c>
    </row>
    <row r="311" spans="2:3">
      <c r="B311" t="e">
        <f>INDEX(#REF!,$M$2,2)</f>
        <v>#REF!</v>
      </c>
      <c r="C311" t="e">
        <f>INDEX(#REF!,$M$2,5)</f>
        <v>#REF!</v>
      </c>
    </row>
    <row r="312" spans="2:3">
      <c r="B312" t="e">
        <f>INDEX(#REF!,$M$2,2)</f>
        <v>#REF!</v>
      </c>
      <c r="C312" t="e">
        <f>INDEX(#REF!,$M$2,5)</f>
        <v>#REF!</v>
      </c>
    </row>
    <row r="313" spans="2:3">
      <c r="B313" t="e">
        <f>INDEX(#REF!,$M$2,2)</f>
        <v>#REF!</v>
      </c>
      <c r="C313" t="e">
        <f>INDEX(#REF!,$M$2,5)</f>
        <v>#REF!</v>
      </c>
    </row>
    <row r="314" spans="2:3">
      <c r="B314" t="e">
        <f>INDEX(#REF!,$M$2,2)</f>
        <v>#REF!</v>
      </c>
      <c r="C314" t="e">
        <f>INDEX(#REF!,$M$2,5)</f>
        <v>#REF!</v>
      </c>
    </row>
    <row r="315" spans="2:3">
      <c r="B315" t="e">
        <f>INDEX(#REF!,$M$2,2)</f>
        <v>#REF!</v>
      </c>
      <c r="C315" t="e">
        <f>INDEX(#REF!,$M$2,5)</f>
        <v>#REF!</v>
      </c>
    </row>
    <row r="316" spans="2:3">
      <c r="B316" t="e">
        <f>INDEX(#REF!,$M$2,2)</f>
        <v>#REF!</v>
      </c>
      <c r="C316" t="e">
        <f>INDEX(#REF!,$M$2,5)</f>
        <v>#REF!</v>
      </c>
    </row>
    <row r="317" spans="2:3">
      <c r="B317" t="e">
        <f>INDEX(#REF!,$M$2,2)</f>
        <v>#REF!</v>
      </c>
      <c r="C317" t="e">
        <f>INDEX(#REF!,$M$2,5)</f>
        <v>#REF!</v>
      </c>
    </row>
    <row r="318" spans="2:3">
      <c r="B318" t="e">
        <f>INDEX(#REF!,$M$2,2)</f>
        <v>#REF!</v>
      </c>
      <c r="C318" t="e">
        <f>INDEX(#REF!,$M$2,5)</f>
        <v>#REF!</v>
      </c>
    </row>
    <row r="319" spans="2:3">
      <c r="B319" t="e">
        <f>INDEX(#REF!,$M$2,2)</f>
        <v>#REF!</v>
      </c>
      <c r="C319" t="e">
        <f>INDEX(#REF!,$M$2,5)</f>
        <v>#REF!</v>
      </c>
    </row>
    <row r="320" spans="2:3">
      <c r="B320" t="e">
        <f>INDEX(#REF!,$M$2,2)</f>
        <v>#REF!</v>
      </c>
      <c r="C320" t="e">
        <f>INDEX(#REF!,$M$2,5)</f>
        <v>#REF!</v>
      </c>
    </row>
    <row r="321" spans="2:3">
      <c r="B321" t="e">
        <f>INDEX(#REF!,$M$2,2)</f>
        <v>#REF!</v>
      </c>
      <c r="C321" t="e">
        <f>INDEX(#REF!,$M$2,5)</f>
        <v>#REF!</v>
      </c>
    </row>
    <row r="322" spans="2:3">
      <c r="B322" t="e">
        <f>INDEX(#REF!,$M$2,2)</f>
        <v>#REF!</v>
      </c>
      <c r="C322" t="e">
        <f>INDEX(#REF!,$M$2,5)</f>
        <v>#REF!</v>
      </c>
    </row>
    <row r="323" spans="2:3">
      <c r="B323" t="e">
        <f>INDEX(#REF!,$M$2,2)</f>
        <v>#REF!</v>
      </c>
      <c r="C323" t="e">
        <f>INDEX(#REF!,$M$2,5)</f>
        <v>#REF!</v>
      </c>
    </row>
    <row r="324" spans="2:3">
      <c r="B324" t="e">
        <f>INDEX(#REF!,$M$2,2)</f>
        <v>#REF!</v>
      </c>
      <c r="C324" t="e">
        <f>INDEX(#REF!,$M$2,5)</f>
        <v>#REF!</v>
      </c>
    </row>
    <row r="325" spans="2:3">
      <c r="B325" t="e">
        <f>INDEX(#REF!,$M$2,2)</f>
        <v>#REF!</v>
      </c>
      <c r="C325" t="e">
        <f>INDEX(#REF!,$M$2,5)</f>
        <v>#REF!</v>
      </c>
    </row>
    <row r="326" spans="2:3">
      <c r="B326" t="e">
        <f>INDEX(#REF!,$M$2,2)</f>
        <v>#REF!</v>
      </c>
      <c r="C326" t="e">
        <f>INDEX(#REF!,$M$2,5)</f>
        <v>#REF!</v>
      </c>
    </row>
    <row r="327" spans="2:3">
      <c r="B327" t="e">
        <f>INDEX(#REF!,$M$2,2)</f>
        <v>#REF!</v>
      </c>
      <c r="C327" t="e">
        <f>INDEX(#REF!,$M$2,5)</f>
        <v>#REF!</v>
      </c>
    </row>
    <row r="328" spans="2:3">
      <c r="B328" t="e">
        <f>INDEX(#REF!,$M$2,2)</f>
        <v>#REF!</v>
      </c>
      <c r="C328" t="e">
        <f>INDEX(#REF!,$M$2,5)</f>
        <v>#REF!</v>
      </c>
    </row>
    <row r="329" spans="2:3">
      <c r="B329" t="e">
        <f>INDEX(#REF!,$M$2,2)</f>
        <v>#REF!</v>
      </c>
      <c r="C329" t="e">
        <f>INDEX(#REF!,$M$2,5)</f>
        <v>#REF!</v>
      </c>
    </row>
    <row r="330" spans="2:3">
      <c r="B330" t="e">
        <f>INDEX(#REF!,$M$2,2)</f>
        <v>#REF!</v>
      </c>
      <c r="C330" t="e">
        <f>INDEX(#REF!,$M$2,5)</f>
        <v>#REF!</v>
      </c>
    </row>
    <row r="331" spans="2:3">
      <c r="B331" t="e">
        <f>INDEX(#REF!,$M$2,2)</f>
        <v>#REF!</v>
      </c>
      <c r="C331" t="e">
        <f>INDEX(#REF!,$M$2,5)</f>
        <v>#REF!</v>
      </c>
    </row>
    <row r="332" spans="2:3">
      <c r="B332" t="e">
        <f>INDEX(#REF!,$M$2,2)</f>
        <v>#REF!</v>
      </c>
      <c r="C332" t="e">
        <f>INDEX(#REF!,$M$2,5)</f>
        <v>#REF!</v>
      </c>
    </row>
    <row r="333" spans="2:3">
      <c r="B333" t="e">
        <f>INDEX(#REF!,$M$2,2)</f>
        <v>#REF!</v>
      </c>
      <c r="C333" t="e">
        <f>INDEX(#REF!,$M$2,5)</f>
        <v>#REF!</v>
      </c>
    </row>
    <row r="334" spans="2:3">
      <c r="B334" t="e">
        <f>INDEX(#REF!,$M$2,2)</f>
        <v>#REF!</v>
      </c>
      <c r="C334" t="e">
        <f>INDEX(#REF!,$M$2,5)</f>
        <v>#REF!</v>
      </c>
    </row>
    <row r="335" spans="2:3">
      <c r="B335" t="e">
        <f>INDEX(#REF!,$M$2,2)</f>
        <v>#REF!</v>
      </c>
      <c r="C335" t="e">
        <f>INDEX(#REF!,$M$2,5)</f>
        <v>#REF!</v>
      </c>
    </row>
    <row r="336" spans="2:3">
      <c r="B336" t="e">
        <f>INDEX(#REF!,$M$2,2)</f>
        <v>#REF!</v>
      </c>
      <c r="C336" t="e">
        <f>INDEX(#REF!,$M$2,5)</f>
        <v>#REF!</v>
      </c>
    </row>
    <row r="337" spans="2:3">
      <c r="B337" t="e">
        <f>INDEX(#REF!,$M$2,2)</f>
        <v>#REF!</v>
      </c>
      <c r="C337" t="e">
        <f>INDEX(#REF!,$M$2,5)</f>
        <v>#REF!</v>
      </c>
    </row>
    <row r="338" spans="2:3">
      <c r="B338" t="e">
        <f>INDEX(#REF!,$M$2,2)</f>
        <v>#REF!</v>
      </c>
      <c r="C338" t="e">
        <f>INDEX(#REF!,$M$2,5)</f>
        <v>#REF!</v>
      </c>
    </row>
    <row r="339" spans="2:3">
      <c r="B339" t="e">
        <f>INDEX(#REF!,$M$2,2)</f>
        <v>#REF!</v>
      </c>
      <c r="C339" t="e">
        <f>INDEX(#REF!,$M$2,5)</f>
        <v>#REF!</v>
      </c>
    </row>
    <row r="340" spans="2:3">
      <c r="B340" t="e">
        <f>INDEX(#REF!,$M$2,2)</f>
        <v>#REF!</v>
      </c>
      <c r="C340" t="e">
        <f>INDEX(#REF!,$M$2,5)</f>
        <v>#REF!</v>
      </c>
    </row>
    <row r="341" spans="2:3">
      <c r="B341" t="e">
        <f>INDEX(#REF!,$M$2,2)</f>
        <v>#REF!</v>
      </c>
      <c r="C341" t="e">
        <f>INDEX(#REF!,$M$2,5)</f>
        <v>#REF!</v>
      </c>
    </row>
    <row r="342" spans="2:3">
      <c r="B342" t="e">
        <f>INDEX(#REF!,$M$2,2)</f>
        <v>#REF!</v>
      </c>
      <c r="C342" t="e">
        <f>INDEX(#REF!,$M$2,5)</f>
        <v>#REF!</v>
      </c>
    </row>
    <row r="343" spans="2:3">
      <c r="B343" t="e">
        <f>INDEX(#REF!,$M$2,2)</f>
        <v>#REF!</v>
      </c>
      <c r="C343" t="e">
        <f>INDEX(#REF!,$M$2,5)</f>
        <v>#REF!</v>
      </c>
    </row>
    <row r="344" spans="2:3">
      <c r="B344" t="e">
        <f>INDEX(#REF!,$M$2,2)</f>
        <v>#REF!</v>
      </c>
      <c r="C344" t="e">
        <f>INDEX(#REF!,$M$2,5)</f>
        <v>#REF!</v>
      </c>
    </row>
    <row r="345" spans="2:3">
      <c r="B345" t="e">
        <f>INDEX(#REF!,$M$2,2)</f>
        <v>#REF!</v>
      </c>
      <c r="C345" t="e">
        <f>INDEX(#REF!,$M$2,5)</f>
        <v>#REF!</v>
      </c>
    </row>
    <row r="346" spans="2:3">
      <c r="B346" t="e">
        <f>INDEX(#REF!,$M$2,2)</f>
        <v>#REF!</v>
      </c>
      <c r="C346" t="e">
        <f>INDEX(#REF!,$M$2,5)</f>
        <v>#REF!</v>
      </c>
    </row>
    <row r="347" spans="2:3">
      <c r="B347" t="e">
        <f>INDEX(#REF!,$M$2,2)</f>
        <v>#REF!</v>
      </c>
      <c r="C347" t="e">
        <f>INDEX(#REF!,$M$2,5)</f>
        <v>#REF!</v>
      </c>
    </row>
    <row r="348" spans="2:3">
      <c r="B348" t="e">
        <f>INDEX(#REF!,$M$2,2)</f>
        <v>#REF!</v>
      </c>
      <c r="C348" t="e">
        <f>INDEX(#REF!,$M$2,5)</f>
        <v>#REF!</v>
      </c>
    </row>
    <row r="349" spans="2:3">
      <c r="B349" t="e">
        <f>INDEX(#REF!,$M$2,2)</f>
        <v>#REF!</v>
      </c>
      <c r="C349" t="e">
        <f>INDEX(#REF!,$M$2,5)</f>
        <v>#REF!</v>
      </c>
    </row>
    <row r="350" spans="2:3">
      <c r="B350" t="e">
        <f>INDEX(#REF!,$M$2,2)</f>
        <v>#REF!</v>
      </c>
      <c r="C350" t="e">
        <f>INDEX(#REF!,$M$2,5)</f>
        <v>#REF!</v>
      </c>
    </row>
    <row r="351" spans="2:3">
      <c r="B351" t="e">
        <f>INDEX(#REF!,$M$2,2)</f>
        <v>#REF!</v>
      </c>
      <c r="C351" t="e">
        <f>INDEX(#REF!,$M$2,5)</f>
        <v>#REF!</v>
      </c>
    </row>
    <row r="352" spans="2:3">
      <c r="B352" t="e">
        <f>INDEX(#REF!,$M$2,2)</f>
        <v>#REF!</v>
      </c>
      <c r="C352" t="e">
        <f>INDEX(#REF!,$M$2,5)</f>
        <v>#REF!</v>
      </c>
    </row>
    <row r="353" spans="2:3">
      <c r="B353" t="e">
        <f>INDEX(#REF!,$M$2,2)</f>
        <v>#REF!</v>
      </c>
      <c r="C353" t="e">
        <f>INDEX(#REF!,$M$2,5)</f>
        <v>#REF!</v>
      </c>
    </row>
    <row r="354" spans="2:3">
      <c r="B354" t="e">
        <f>INDEX(#REF!,$M$2,2)</f>
        <v>#REF!</v>
      </c>
      <c r="C354" t="e">
        <f>INDEX(#REF!,$M$2,5)</f>
        <v>#REF!</v>
      </c>
    </row>
    <row r="355" spans="2:3">
      <c r="B355" t="e">
        <f>INDEX(#REF!,$M$2,2)</f>
        <v>#REF!</v>
      </c>
      <c r="C355" t="e">
        <f>INDEX(#REF!,$M$2,5)</f>
        <v>#REF!</v>
      </c>
    </row>
    <row r="356" spans="2:3">
      <c r="B356" t="e">
        <f>INDEX(#REF!,$M$2,2)</f>
        <v>#REF!</v>
      </c>
      <c r="C356" t="e">
        <f>INDEX(#REF!,$M$2,5)</f>
        <v>#REF!</v>
      </c>
    </row>
    <row r="357" spans="2:3">
      <c r="B357" t="e">
        <f>INDEX(#REF!,$M$2,2)</f>
        <v>#REF!</v>
      </c>
      <c r="C357" t="e">
        <f>INDEX(#REF!,$M$2,5)</f>
        <v>#REF!</v>
      </c>
    </row>
    <row r="358" spans="2:3">
      <c r="B358" t="e">
        <f>INDEX(#REF!,$M$2,2)</f>
        <v>#REF!</v>
      </c>
      <c r="C358" t="e">
        <f>INDEX(#REF!,$M$2,5)</f>
        <v>#REF!</v>
      </c>
    </row>
    <row r="359" spans="2:3">
      <c r="B359" t="e">
        <f>INDEX(#REF!,$M$2,2)</f>
        <v>#REF!</v>
      </c>
      <c r="C359" t="e">
        <f>INDEX(#REF!,$M$2,5)</f>
        <v>#REF!</v>
      </c>
    </row>
    <row r="360" spans="2:3">
      <c r="B360" t="e">
        <f>INDEX(#REF!,$M$2,2)</f>
        <v>#REF!</v>
      </c>
      <c r="C360" t="e">
        <f>INDEX(#REF!,$M$2,5)</f>
        <v>#REF!</v>
      </c>
    </row>
    <row r="361" spans="2:3">
      <c r="B361" t="e">
        <f>INDEX(#REF!,$M$2,2)</f>
        <v>#REF!</v>
      </c>
      <c r="C361" t="e">
        <f>INDEX(#REF!,$M$2,5)</f>
        <v>#REF!</v>
      </c>
    </row>
    <row r="362" spans="2:3">
      <c r="B362" t="e">
        <f>INDEX(#REF!,$M$2,2)</f>
        <v>#REF!</v>
      </c>
      <c r="C362" t="e">
        <f>INDEX(#REF!,$M$2,5)</f>
        <v>#REF!</v>
      </c>
    </row>
    <row r="363" spans="2:3">
      <c r="B363" t="e">
        <f>INDEX(#REF!,$M$2,2)</f>
        <v>#REF!</v>
      </c>
      <c r="C363" t="e">
        <f>INDEX(#REF!,$M$2,5)</f>
        <v>#REF!</v>
      </c>
    </row>
    <row r="364" spans="2:3">
      <c r="B364" t="e">
        <f>INDEX(#REF!,$M$2,2)</f>
        <v>#REF!</v>
      </c>
      <c r="C364" t="e">
        <f>INDEX(#REF!,$M$2,5)</f>
        <v>#REF!</v>
      </c>
    </row>
    <row r="365" spans="2:3">
      <c r="B365" t="e">
        <f>INDEX(#REF!,$M$2,2)</f>
        <v>#REF!</v>
      </c>
      <c r="C365" t="e">
        <f>INDEX(#REF!,$M$2,5)</f>
        <v>#REF!</v>
      </c>
    </row>
    <row r="366" spans="2:3">
      <c r="B366" t="e">
        <f>INDEX(#REF!,$M$2,2)</f>
        <v>#REF!</v>
      </c>
      <c r="C366" t="e">
        <f>INDEX(#REF!,$M$2,5)</f>
        <v>#REF!</v>
      </c>
    </row>
    <row r="367" spans="2:3">
      <c r="B367" t="e">
        <f>INDEX(#REF!,$M$2,2)</f>
        <v>#REF!</v>
      </c>
      <c r="C367" t="e">
        <f>INDEX(#REF!,$M$2,5)</f>
        <v>#REF!</v>
      </c>
    </row>
    <row r="368" spans="2:3">
      <c r="B368" t="e">
        <f>INDEX(#REF!,$M$2,2)</f>
        <v>#REF!</v>
      </c>
      <c r="C368" t="e">
        <f>INDEX(#REF!,$M$2,5)</f>
        <v>#REF!</v>
      </c>
    </row>
    <row r="369" spans="2:3">
      <c r="B369" t="e">
        <f>INDEX(#REF!,$M$2,2)</f>
        <v>#REF!</v>
      </c>
      <c r="C369" t="e">
        <f>INDEX(#REF!,$M$2,5)</f>
        <v>#REF!</v>
      </c>
    </row>
    <row r="370" spans="2:3">
      <c r="B370" t="e">
        <f>INDEX(#REF!,$M$2,2)</f>
        <v>#REF!</v>
      </c>
      <c r="C370" t="e">
        <f>INDEX(#REF!,$M$2,5)</f>
        <v>#REF!</v>
      </c>
    </row>
    <row r="371" spans="2:3">
      <c r="B371" t="e">
        <f>INDEX(#REF!,$M$2,2)</f>
        <v>#REF!</v>
      </c>
      <c r="C371" t="e">
        <f>INDEX(#REF!,$M$2,5)</f>
        <v>#REF!</v>
      </c>
    </row>
    <row r="372" spans="2:3">
      <c r="B372" t="e">
        <f>INDEX(#REF!,$M$2,2)</f>
        <v>#REF!</v>
      </c>
      <c r="C372" t="e">
        <f>INDEX(#REF!,$M$2,5)</f>
        <v>#REF!</v>
      </c>
    </row>
    <row r="373" spans="2:3">
      <c r="B373" t="e">
        <f>INDEX(#REF!,$M$2,2)</f>
        <v>#REF!</v>
      </c>
      <c r="C373" t="e">
        <f>INDEX(#REF!,$M$2,5)</f>
        <v>#REF!</v>
      </c>
    </row>
    <row r="374" spans="2:3">
      <c r="B374" t="e">
        <f>INDEX(#REF!,$M$2,2)</f>
        <v>#REF!</v>
      </c>
      <c r="C374" t="e">
        <f>INDEX(#REF!,$M$2,5)</f>
        <v>#REF!</v>
      </c>
    </row>
    <row r="375" spans="2:3">
      <c r="B375" t="e">
        <f>INDEX(#REF!,$M$2,2)</f>
        <v>#REF!</v>
      </c>
      <c r="C375" t="e">
        <f>INDEX(#REF!,$M$2,5)</f>
        <v>#REF!</v>
      </c>
    </row>
    <row r="376" spans="2:3">
      <c r="B376" t="e">
        <f>INDEX(#REF!,$M$2,2)</f>
        <v>#REF!</v>
      </c>
      <c r="C376" t="e">
        <f>INDEX(#REF!,$M$2,5)</f>
        <v>#REF!</v>
      </c>
    </row>
    <row r="377" spans="2:3">
      <c r="B377" t="e">
        <f>INDEX(#REF!,$M$2,2)</f>
        <v>#REF!</v>
      </c>
      <c r="C377" t="e">
        <f>INDEX(#REF!,$M$2,5)</f>
        <v>#REF!</v>
      </c>
    </row>
    <row r="378" spans="2:3">
      <c r="B378" t="e">
        <f>INDEX(#REF!,$M$2,2)</f>
        <v>#REF!</v>
      </c>
      <c r="C378" t="e">
        <f>INDEX(#REF!,$M$2,5)</f>
        <v>#REF!</v>
      </c>
    </row>
    <row r="379" spans="2:3">
      <c r="B379" t="e">
        <f>INDEX(#REF!,$M$2,2)</f>
        <v>#REF!</v>
      </c>
      <c r="C379" t="e">
        <f>INDEX(#REF!,$M$2,5)</f>
        <v>#REF!</v>
      </c>
    </row>
    <row r="380" spans="2:3">
      <c r="B380" t="e">
        <f>INDEX(#REF!,$M$2,2)</f>
        <v>#REF!</v>
      </c>
      <c r="C380" t="e">
        <f>INDEX(#REF!,$M$2,5)</f>
        <v>#REF!</v>
      </c>
    </row>
    <row r="381" spans="2:3">
      <c r="B381" t="e">
        <f>INDEX(#REF!,$M$2,2)</f>
        <v>#REF!</v>
      </c>
      <c r="C381" t="e">
        <f>INDEX(#REF!,$M$2,5)</f>
        <v>#REF!</v>
      </c>
    </row>
    <row r="382" spans="2:3">
      <c r="B382" t="e">
        <f>INDEX(#REF!,$M$2,2)</f>
        <v>#REF!</v>
      </c>
      <c r="C382" t="e">
        <f>INDEX(#REF!,$M$2,5)</f>
        <v>#REF!</v>
      </c>
    </row>
    <row r="383" spans="2:3">
      <c r="B383" t="e">
        <f>INDEX(#REF!,$M$2,2)</f>
        <v>#REF!</v>
      </c>
      <c r="C383" t="e">
        <f>INDEX(#REF!,$M$2,5)</f>
        <v>#REF!</v>
      </c>
    </row>
    <row r="384" spans="2:3">
      <c r="B384" t="e">
        <f>INDEX(#REF!,$M$2,2)</f>
        <v>#REF!</v>
      </c>
      <c r="C384" t="e">
        <f>INDEX(#REF!,$M$2,5)</f>
        <v>#REF!</v>
      </c>
    </row>
    <row r="385" spans="2:3">
      <c r="B385" t="e">
        <f>INDEX(#REF!,$M$2,2)</f>
        <v>#REF!</v>
      </c>
      <c r="C385" t="e">
        <f>INDEX(#REF!,$M$2,5)</f>
        <v>#REF!</v>
      </c>
    </row>
    <row r="386" spans="2:3">
      <c r="B386" t="e">
        <f>INDEX(#REF!,$M$2,2)</f>
        <v>#REF!</v>
      </c>
      <c r="C386" t="e">
        <f>INDEX(#REF!,$M$2,5)</f>
        <v>#REF!</v>
      </c>
    </row>
    <row r="387" spans="2:3">
      <c r="B387" t="e">
        <f>INDEX(#REF!,$M$2,2)</f>
        <v>#REF!</v>
      </c>
      <c r="C387" t="e">
        <f>INDEX(#REF!,$M$2,5)</f>
        <v>#REF!</v>
      </c>
    </row>
    <row r="388" spans="2:3">
      <c r="B388" t="e">
        <f>INDEX(#REF!,$M$2,2)</f>
        <v>#REF!</v>
      </c>
      <c r="C388" t="e">
        <f>INDEX(#REF!,$M$2,5)</f>
        <v>#REF!</v>
      </c>
    </row>
    <row r="389" spans="2:3">
      <c r="B389" t="e">
        <f>INDEX(#REF!,$M$2,2)</f>
        <v>#REF!</v>
      </c>
      <c r="C389" t="e">
        <f>INDEX(#REF!,$M$2,5)</f>
        <v>#REF!</v>
      </c>
    </row>
    <row r="390" spans="2:3">
      <c r="B390" t="e">
        <f>INDEX(#REF!,$M$2,2)</f>
        <v>#REF!</v>
      </c>
      <c r="C390" t="e">
        <f>INDEX(#REF!,$M$2,5)</f>
        <v>#REF!</v>
      </c>
    </row>
    <row r="391" spans="2:3">
      <c r="B391" t="e">
        <f>INDEX(#REF!,$M$2,2)</f>
        <v>#REF!</v>
      </c>
      <c r="C391" t="e">
        <f>INDEX(#REF!,$M$2,5)</f>
        <v>#REF!</v>
      </c>
    </row>
    <row r="392" spans="2:3">
      <c r="B392" t="e">
        <f>INDEX(#REF!,$M$2,2)</f>
        <v>#REF!</v>
      </c>
      <c r="C392" t="e">
        <f>INDEX(#REF!,$M$2,5)</f>
        <v>#REF!</v>
      </c>
    </row>
    <row r="393" spans="2:3">
      <c r="B393" t="e">
        <f>INDEX(#REF!,$M$2,2)</f>
        <v>#REF!</v>
      </c>
      <c r="C393" t="e">
        <f>INDEX(#REF!,$M$2,5)</f>
        <v>#REF!</v>
      </c>
    </row>
    <row r="394" spans="2:3">
      <c r="B394" t="e">
        <f>INDEX(#REF!,$M$2,2)</f>
        <v>#REF!</v>
      </c>
      <c r="C394" t="e">
        <f>INDEX(#REF!,$M$2,5)</f>
        <v>#REF!</v>
      </c>
    </row>
    <row r="395" spans="2:3">
      <c r="B395" t="e">
        <f>INDEX(#REF!,$M$2,2)</f>
        <v>#REF!</v>
      </c>
      <c r="C395" t="e">
        <f>INDEX(#REF!,$M$2,5)</f>
        <v>#REF!</v>
      </c>
    </row>
    <row r="396" spans="2:3">
      <c r="B396" t="e">
        <f>INDEX(#REF!,$M$2,2)</f>
        <v>#REF!</v>
      </c>
      <c r="C396" t="e">
        <f>INDEX(#REF!,$M$2,5)</f>
        <v>#REF!</v>
      </c>
    </row>
    <row r="397" spans="2:3">
      <c r="B397" t="e">
        <f>INDEX(#REF!,$M$2,2)</f>
        <v>#REF!</v>
      </c>
      <c r="C397" t="e">
        <f>INDEX(#REF!,$M$2,5)</f>
        <v>#REF!</v>
      </c>
    </row>
    <row r="398" spans="2:3">
      <c r="B398" t="e">
        <f>INDEX(#REF!,$M$2,2)</f>
        <v>#REF!</v>
      </c>
      <c r="C398" t="e">
        <f>INDEX(#REF!,$M$2,5)</f>
        <v>#REF!</v>
      </c>
    </row>
    <row r="399" spans="2:3">
      <c r="B399" t="e">
        <f>INDEX(#REF!,$M$2,2)</f>
        <v>#REF!</v>
      </c>
      <c r="C399" t="e">
        <f>INDEX(#REF!,$M$2,5)</f>
        <v>#REF!</v>
      </c>
    </row>
    <row r="400" spans="2:3">
      <c r="B400" t="e">
        <f>INDEX(#REF!,$M$2,2)</f>
        <v>#REF!</v>
      </c>
      <c r="C400" t="e">
        <f>INDEX(#REF!,$M$2,5)</f>
        <v>#REF!</v>
      </c>
    </row>
    <row r="401" spans="2:3">
      <c r="B401" t="e">
        <f>INDEX(#REF!,$M$2,2)</f>
        <v>#REF!</v>
      </c>
      <c r="C401" t="e">
        <f>INDEX(#REF!,$M$2,5)</f>
        <v>#REF!</v>
      </c>
    </row>
    <row r="402" spans="2:3">
      <c r="B402" t="e">
        <f>INDEX(#REF!,$M$2,2)</f>
        <v>#REF!</v>
      </c>
      <c r="C402" t="e">
        <f>INDEX(#REF!,$M$2,5)</f>
        <v>#REF!</v>
      </c>
    </row>
    <row r="403" spans="2:3">
      <c r="B403" t="e">
        <f>INDEX(#REF!,$M$2,2)</f>
        <v>#REF!</v>
      </c>
      <c r="C403" t="e">
        <f>INDEX(#REF!,$M$2,5)</f>
        <v>#REF!</v>
      </c>
    </row>
    <row r="404" spans="2:3">
      <c r="B404" t="e">
        <f>INDEX(#REF!,$M$2,2)</f>
        <v>#REF!</v>
      </c>
      <c r="C404" t="e">
        <f>INDEX(#REF!,$M$2,5)</f>
        <v>#REF!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Scroll Bar 2">
              <controlPr defaultSize="0" autoPict="0">
                <anchor moveWithCells="1">
                  <from>
                    <xdr:col>0</xdr:col>
                    <xdr:colOff>333375</xdr:colOff>
                    <xdr:row>16</xdr:row>
                    <xdr:rowOff>28575</xdr:rowOff>
                  </from>
                  <to>
                    <xdr:col>15</xdr:col>
                    <xdr:colOff>180975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B6:AM73"/>
  <sheetViews>
    <sheetView zoomScale="85" zoomScaleNormal="85" workbookViewId="0">
      <selection activeCell="Y33" sqref="Y33"/>
    </sheetView>
  </sheetViews>
  <sheetFormatPr defaultColWidth="9" defaultRowHeight="15"/>
  <sheetData>
    <row r="6" spans="2:29">
      <c r="D6" t="s">
        <v>4</v>
      </c>
    </row>
    <row r="7" spans="2:29">
      <c r="C7" s="23" t="s">
        <v>5</v>
      </c>
      <c r="R7" s="23" t="s">
        <v>6</v>
      </c>
    </row>
    <row r="9" spans="2:29">
      <c r="D9" t="s">
        <v>7</v>
      </c>
      <c r="E9" t="s">
        <v>1</v>
      </c>
      <c r="F9" t="s">
        <v>8</v>
      </c>
      <c r="G9" t="s">
        <v>9</v>
      </c>
      <c r="I9" t="s">
        <v>10</v>
      </c>
      <c r="S9" t="s">
        <v>7</v>
      </c>
      <c r="T9" t="s">
        <v>1</v>
      </c>
      <c r="U9" t="s">
        <v>8</v>
      </c>
      <c r="V9" t="s">
        <v>9</v>
      </c>
      <c r="X9" t="s">
        <v>10</v>
      </c>
    </row>
    <row r="10" spans="2:29">
      <c r="C10" t="s">
        <v>11</v>
      </c>
      <c r="D10">
        <f>VLOOKUP('LINE DATA'!$AC$142,'LINE DATA'!$A$2:$O$141,9)</f>
        <v>3.956</v>
      </c>
      <c r="E10">
        <f>VLOOKUP('LINE DATA'!$AC$142,'LINE DATA'!$A$2:$O$141,13)</f>
        <v>78.051000000000002</v>
      </c>
      <c r="F10">
        <f>D10*COS(RADIANS(E10))</f>
        <v>0.81905396600260527</v>
      </c>
      <c r="G10">
        <f>D10*SIN(RADIANS(E10))</f>
        <v>3.8702824962495184</v>
      </c>
      <c r="I10">
        <f>VLOOKUP('LINE DATA'!$AC$142,'LINE DATA'!$A$2:$O$141,12)</f>
        <v>14.78</v>
      </c>
      <c r="R10" t="s">
        <v>11</v>
      </c>
      <c r="S10">
        <f>VLOOKUP('LINE DATA'!$AC$142,'LINE DATA'!$A$2:$O$141,3)</f>
        <v>3.956</v>
      </c>
      <c r="T10">
        <f>VLOOKUP('LINE DATA'!$AC$142,'LINE DATA'!$A$2:$O$141,13)</f>
        <v>78.051000000000002</v>
      </c>
      <c r="U10">
        <f>S10*COS(RADIANS(T10))</f>
        <v>0.81905396600260527</v>
      </c>
      <c r="V10">
        <f>S10*SIN(RADIANS(T10))</f>
        <v>3.8702824962495184</v>
      </c>
      <c r="X10">
        <f>VLOOKUP('LINE DATA'!$AC$142,'LINE DATA'!$A$2:$O$141,6)</f>
        <v>5.4089999999999998</v>
      </c>
    </row>
    <row r="11" spans="2:29">
      <c r="C11" t="s">
        <v>12</v>
      </c>
      <c r="D11">
        <f>VLOOKUP('LINE DATA'!$AC$142,'LINE DATA'!$A$2:$O$141,10)</f>
        <v>6.1219999999999999</v>
      </c>
      <c r="E11">
        <f>VLOOKUP('LINE DATA'!$AC$142,'LINE DATA'!$A$2:$O$141,13)</f>
        <v>78.051000000000002</v>
      </c>
      <c r="F11">
        <f>D11*COS(RADIANS(E11))</f>
        <v>1.2675046460737991</v>
      </c>
      <c r="G11">
        <f>D11*SIN(RADIANS(E11))</f>
        <v>5.9893502128512512</v>
      </c>
      <c r="I11">
        <f>VLOOKUP('LINE DATA'!$AC$142,'LINE DATA'!$A$2:$O$141,12)</f>
        <v>14.78</v>
      </c>
      <c r="R11" t="s">
        <v>12</v>
      </c>
      <c r="S11">
        <f>VLOOKUP('LINE DATA'!$AC$142,'LINE DATA'!$A$2:$O$141,4)</f>
        <v>6.1219999999999999</v>
      </c>
      <c r="T11">
        <f>VLOOKUP('LINE DATA'!$AC$142,'LINE DATA'!$A$2:$O$141,13)</f>
        <v>78.051000000000002</v>
      </c>
      <c r="U11">
        <f>S11*COS(RADIANS(T11))</f>
        <v>1.2675046460737991</v>
      </c>
      <c r="V11">
        <f>S11*SIN(RADIANS(T11))</f>
        <v>5.9893502128512512</v>
      </c>
      <c r="X11">
        <f>VLOOKUP('LINE DATA'!$AC$142,'LINE DATA'!$A$2:$O$141,7)</f>
        <v>8.3719999999999999</v>
      </c>
    </row>
    <row r="12" spans="2:29">
      <c r="C12" t="s">
        <v>13</v>
      </c>
      <c r="D12">
        <f>VLOOKUP('LINE DATA'!$AC$142,'LINE DATA'!$A$2:$O$141,11)</f>
        <v>8.16</v>
      </c>
      <c r="E12">
        <f>VLOOKUP('LINE DATA'!$AC$142,'LINE DATA'!$A$2:$O$141,13)</f>
        <v>78.051000000000002</v>
      </c>
      <c r="F12">
        <f>D12*COS(RADIANS(E12))</f>
        <v>1.6894540855867692</v>
      </c>
      <c r="G12">
        <f>D12*SIN(RADIANS(E12))</f>
        <v>7.9831913977239815</v>
      </c>
      <c r="I12">
        <f>VLOOKUP('LINE DATA'!$AC$142,'LINE DATA'!$A$2:$O$141,12)</f>
        <v>14.78</v>
      </c>
      <c r="R12" t="s">
        <v>13</v>
      </c>
      <c r="S12">
        <f>VLOOKUP('LINE DATA'!$AC$142,'LINE DATA'!$A$2:$O$141,5)</f>
        <v>8.16</v>
      </c>
      <c r="T12">
        <f>VLOOKUP('LINE DATA'!$AC$142,'LINE DATA'!$A$2:$O$141,13)</f>
        <v>78.051000000000002</v>
      </c>
      <c r="U12">
        <f>S12*COS(RADIANS(T12))</f>
        <v>1.6894540855867692</v>
      </c>
      <c r="V12">
        <f>S12*SIN(RADIANS(T12))</f>
        <v>7.9831913977239815</v>
      </c>
      <c r="X12">
        <f>VLOOKUP('LINE DATA'!$AC$142,'LINE DATA'!$A$2:$O$141,8)</f>
        <v>11.085000000000001</v>
      </c>
    </row>
    <row r="14" spans="2:29">
      <c r="B14" t="s">
        <v>14</v>
      </c>
      <c r="C14" t="s">
        <v>11</v>
      </c>
      <c r="D14">
        <v>0</v>
      </c>
      <c r="E14">
        <v>0</v>
      </c>
      <c r="H14" t="s">
        <v>12</v>
      </c>
      <c r="I14">
        <v>0</v>
      </c>
      <c r="J14">
        <v>0</v>
      </c>
      <c r="L14" t="s">
        <v>13</v>
      </c>
      <c r="M14">
        <v>0</v>
      </c>
      <c r="N14">
        <v>0</v>
      </c>
      <c r="Q14" t="s">
        <v>14</v>
      </c>
      <c r="R14" t="s">
        <v>11</v>
      </c>
      <c r="S14">
        <v>0</v>
      </c>
      <c r="T14">
        <v>0</v>
      </c>
      <c r="W14" t="s">
        <v>12</v>
      </c>
      <c r="X14">
        <v>0</v>
      </c>
      <c r="Y14">
        <v>0</v>
      </c>
      <c r="AA14" t="s">
        <v>13</v>
      </c>
      <c r="AB14">
        <v>0</v>
      </c>
      <c r="AC14">
        <v>0</v>
      </c>
    </row>
    <row r="15" spans="2:29">
      <c r="D15">
        <f>F10</f>
        <v>0.81905396600260527</v>
      </c>
      <c r="E15">
        <f>G10</f>
        <v>3.8702824962495184</v>
      </c>
      <c r="I15">
        <f>F11</f>
        <v>1.2675046460737991</v>
      </c>
      <c r="J15">
        <f>G11</f>
        <v>5.9893502128512512</v>
      </c>
      <c r="M15">
        <f>F12</f>
        <v>1.6894540855867692</v>
      </c>
      <c r="N15">
        <f>G12</f>
        <v>7.9831913977239815</v>
      </c>
      <c r="S15">
        <f>U10</f>
        <v>0.81905396600260527</v>
      </c>
      <c r="T15">
        <f>V10</f>
        <v>3.8702824962495184</v>
      </c>
      <c r="X15">
        <f>U11</f>
        <v>1.2675046460737991</v>
      </c>
      <c r="Y15">
        <f>V11</f>
        <v>5.9893502128512512</v>
      </c>
      <c r="AB15">
        <f>U12</f>
        <v>1.6894540855867692</v>
      </c>
      <c r="AC15">
        <f>V12</f>
        <v>7.9831913977239815</v>
      </c>
    </row>
    <row r="17" spans="2:29">
      <c r="B17" t="s">
        <v>15</v>
      </c>
      <c r="D17">
        <f>D15</f>
        <v>0.81905396600260527</v>
      </c>
      <c r="E17">
        <f>E15</f>
        <v>3.8702824962495184</v>
      </c>
      <c r="I17">
        <f>I15</f>
        <v>1.2675046460737991</v>
      </c>
      <c r="J17">
        <f>J15</f>
        <v>5.9893502128512512</v>
      </c>
      <c r="M17">
        <f>M15</f>
        <v>1.6894540855867692</v>
      </c>
      <c r="N17">
        <f>N15</f>
        <v>7.9831913977239815</v>
      </c>
      <c r="Q17" t="s">
        <v>15</v>
      </c>
      <c r="S17">
        <f>S15</f>
        <v>0.81905396600260527</v>
      </c>
      <c r="T17">
        <f>T15</f>
        <v>3.8702824962495184</v>
      </c>
      <c r="X17">
        <f>X15</f>
        <v>1.2675046460737991</v>
      </c>
      <c r="Y17">
        <f>Y15</f>
        <v>5.9893502128512512</v>
      </c>
      <c r="AB17">
        <f>AB15</f>
        <v>1.6894540855867692</v>
      </c>
      <c r="AC17">
        <f>AC15</f>
        <v>7.9831913977239815</v>
      </c>
    </row>
    <row r="18" spans="2:29">
      <c r="D18">
        <f>D17+I10</f>
        <v>15.599053966002604</v>
      </c>
      <c r="E18">
        <f>E15</f>
        <v>3.8702824962495184</v>
      </c>
      <c r="I18">
        <f>I17+I11</f>
        <v>16.047504646073797</v>
      </c>
      <c r="J18">
        <f>J15</f>
        <v>5.9893502128512512</v>
      </c>
      <c r="M18">
        <f>M17+I12</f>
        <v>16.469454085586769</v>
      </c>
      <c r="N18">
        <f>N15</f>
        <v>7.9831913977239815</v>
      </c>
      <c r="S18">
        <f>S17+X10</f>
        <v>6.2280539660026051</v>
      </c>
      <c r="T18">
        <f>T15</f>
        <v>3.8702824962495184</v>
      </c>
      <c r="X18">
        <f>X17+X11</f>
        <v>9.6395046460737994</v>
      </c>
      <c r="Y18">
        <f>Y15</f>
        <v>5.9893502128512512</v>
      </c>
      <c r="AB18">
        <f>AB17+X12</f>
        <v>12.77445408558677</v>
      </c>
      <c r="AC18">
        <f>AC15</f>
        <v>7.9831913977239815</v>
      </c>
    </row>
    <row r="20" spans="2:29">
      <c r="B20" t="s">
        <v>16</v>
      </c>
      <c r="D20">
        <f>D17</f>
        <v>0.81905396600260527</v>
      </c>
      <c r="E20">
        <f>E15</f>
        <v>3.8702824962495184</v>
      </c>
      <c r="I20">
        <f>I17</f>
        <v>1.2675046460737991</v>
      </c>
      <c r="J20">
        <f>J15</f>
        <v>5.9893502128512512</v>
      </c>
      <c r="M20">
        <f>M17</f>
        <v>1.6894540855867692</v>
      </c>
      <c r="N20">
        <f>N15</f>
        <v>7.9831913977239815</v>
      </c>
      <c r="Q20" t="s">
        <v>16</v>
      </c>
      <c r="S20">
        <f>S17</f>
        <v>0.81905396600260527</v>
      </c>
      <c r="T20">
        <f>T15</f>
        <v>3.8702824962495184</v>
      </c>
      <c r="X20">
        <f>X17</f>
        <v>1.2675046460737991</v>
      </c>
      <c r="Y20">
        <f>Y15</f>
        <v>5.9893502128512512</v>
      </c>
      <c r="AB20">
        <f>AB17</f>
        <v>1.6894540855867692</v>
      </c>
      <c r="AC20">
        <f>AC15</f>
        <v>7.9831913977239815</v>
      </c>
    </row>
    <row r="21" spans="2:29">
      <c r="D21">
        <f>D20-(0.5*I10)</f>
        <v>-6.5709460339973944</v>
      </c>
      <c r="E21">
        <f>E15</f>
        <v>3.8702824962495184</v>
      </c>
      <c r="I21">
        <f>I20-(0.5*$I$11)</f>
        <v>-6.122495353926201</v>
      </c>
      <c r="J21">
        <f>J15</f>
        <v>5.9893502128512512</v>
      </c>
      <c r="M21">
        <f>M20-(0.5*$I$12)</f>
        <v>-5.7005459144132304</v>
      </c>
      <c r="N21">
        <f>N15</f>
        <v>7.9831913977239815</v>
      </c>
      <c r="S21">
        <f>S20-(0.5*$X$10)</f>
        <v>-1.8854460339973946</v>
      </c>
      <c r="T21">
        <f>T15</f>
        <v>3.8702824962495184</v>
      </c>
      <c r="X21">
        <f>X20-(0.5*$X$11)</f>
        <v>-2.9184953539262009</v>
      </c>
      <c r="Y21">
        <f>Y15</f>
        <v>5.9893502128512512</v>
      </c>
      <c r="AB21">
        <f>AB20-(0.5*$X$12)</f>
        <v>-3.8530459144132312</v>
      </c>
      <c r="AC21">
        <f>AC15</f>
        <v>7.9831913977239815</v>
      </c>
    </row>
    <row r="23" spans="2:29">
      <c r="B23" t="s">
        <v>17</v>
      </c>
      <c r="D23">
        <v>0</v>
      </c>
      <c r="E23">
        <v>0</v>
      </c>
      <c r="I23">
        <v>0</v>
      </c>
      <c r="J23">
        <v>0</v>
      </c>
      <c r="M23">
        <v>0</v>
      </c>
      <c r="N23">
        <v>0</v>
      </c>
      <c r="Q23" t="s">
        <v>17</v>
      </c>
      <c r="S23">
        <v>0</v>
      </c>
      <c r="T23">
        <v>0</v>
      </c>
      <c r="X23">
        <v>0</v>
      </c>
      <c r="Y23">
        <v>0</v>
      </c>
      <c r="AB23">
        <v>0</v>
      </c>
      <c r="AC23">
        <v>0</v>
      </c>
    </row>
    <row r="24" spans="2:29">
      <c r="D24">
        <f>I10*SIN(RADIANS(E10))*COS(RADIANS(90-E10))</f>
        <v>14.146441235252365</v>
      </c>
      <c r="E24">
        <f>-I10*SIN(RADIANS(E10))*SIN(RADIANS(90-E10))</f>
        <v>-2.9937604838365894</v>
      </c>
      <c r="I24">
        <f>I11*SIN(RADIANS(E11))*COS(RADIANS(90-E11))</f>
        <v>14.146441235252365</v>
      </c>
      <c r="J24">
        <f>-I11*SIN(RADIANS(E11))*SIN(RADIANS(90-E11))</f>
        <v>-2.9937604838365894</v>
      </c>
      <c r="M24">
        <f>I12*SIN(RADIANS(E12))*COS(RADIANS(90-E12))</f>
        <v>14.146441235252365</v>
      </c>
      <c r="N24">
        <f>-I12*SIN(RADIANS(E12))*SIN(RADIANS(90-E12))</f>
        <v>-2.9937604838365894</v>
      </c>
      <c r="S24">
        <f>X10*SIN(RADIANS(T10))*COS(RADIANS(90-T10))</f>
        <v>5.1771380677591363</v>
      </c>
      <c r="T24">
        <f>-X10*SIN(RADIANS(T10))*SIN(RADIANS(90-T10))</f>
        <v>-1.0956191107626598</v>
      </c>
      <c r="X24">
        <f>X11*SIN(RADIANS(T11))*COS(RADIANS(90-T11))</f>
        <v>8.0131262531483625</v>
      </c>
      <c r="Y24">
        <f>-X11*SIN(RADIANS(T11))*SIN(RADIANS(90-T11))</f>
        <v>-1.6957890913856513</v>
      </c>
      <c r="AB24">
        <f>X12*SIN(RADIANS(T12))*COS(RADIANS(90-T12))</f>
        <v>10.609830926439274</v>
      </c>
      <c r="AC24">
        <f>-X12*SIN(RADIANS(T12))*SIN(RADIANS(90-T12))</f>
        <v>-2.2453203628774427</v>
      </c>
    </row>
    <row r="26" spans="2:29">
      <c r="B26" t="s">
        <v>18</v>
      </c>
      <c r="D26">
        <f>D24</f>
        <v>14.146441235252365</v>
      </c>
      <c r="E26">
        <f>E24</f>
        <v>-2.9937604838365894</v>
      </c>
      <c r="I26">
        <f>I24</f>
        <v>14.146441235252365</v>
      </c>
      <c r="J26">
        <f>J24</f>
        <v>-2.9937604838365894</v>
      </c>
      <c r="M26">
        <f>M24</f>
        <v>14.146441235252365</v>
      </c>
      <c r="N26">
        <f>N24</f>
        <v>-2.9937604838365894</v>
      </c>
      <c r="Q26" t="s">
        <v>18</v>
      </c>
      <c r="S26">
        <f>S24</f>
        <v>5.1771380677591363</v>
      </c>
      <c r="T26">
        <f>T24</f>
        <v>-1.0956191107626598</v>
      </c>
      <c r="X26">
        <f>X24</f>
        <v>8.0131262531483625</v>
      </c>
      <c r="Y26">
        <f>Y24</f>
        <v>-1.6957890913856513</v>
      </c>
      <c r="AB26">
        <f>AB24</f>
        <v>10.609830926439274</v>
      </c>
      <c r="AC26">
        <f>AC24</f>
        <v>-2.2453203628774427</v>
      </c>
    </row>
    <row r="27" spans="2:29">
      <c r="D27">
        <f>D18</f>
        <v>15.599053966002604</v>
      </c>
      <c r="E27">
        <f>E15</f>
        <v>3.8702824962495184</v>
      </c>
      <c r="I27">
        <f>I18</f>
        <v>16.047504646073797</v>
      </c>
      <c r="J27">
        <f>J15</f>
        <v>5.9893502128512512</v>
      </c>
      <c r="M27">
        <f>M18</f>
        <v>16.469454085586769</v>
      </c>
      <c r="N27">
        <f>N15</f>
        <v>7.9831913977239815</v>
      </c>
      <c r="S27">
        <f>S18</f>
        <v>6.2280539660026051</v>
      </c>
      <c r="T27">
        <f>T15</f>
        <v>3.8702824962495184</v>
      </c>
      <c r="X27">
        <f>X18</f>
        <v>9.6395046460737994</v>
      </c>
      <c r="Y27">
        <f>Y15</f>
        <v>5.9893502128512512</v>
      </c>
      <c r="AB27">
        <f>AB18</f>
        <v>12.77445408558677</v>
      </c>
      <c r="AC27">
        <f>AC15</f>
        <v>7.9831913977239815</v>
      </c>
    </row>
    <row r="29" spans="2:29">
      <c r="B29" t="s">
        <v>19</v>
      </c>
      <c r="D29">
        <v>0</v>
      </c>
      <c r="E29">
        <v>0</v>
      </c>
      <c r="I29">
        <v>0</v>
      </c>
      <c r="J29">
        <v>0</v>
      </c>
      <c r="M29">
        <v>0</v>
      </c>
      <c r="N29">
        <v>0</v>
      </c>
      <c r="Q29" t="s">
        <v>19</v>
      </c>
      <c r="S29">
        <v>0</v>
      </c>
      <c r="T29">
        <v>0</v>
      </c>
      <c r="X29">
        <v>0</v>
      </c>
      <c r="Y29">
        <v>0</v>
      </c>
      <c r="AB29">
        <v>0</v>
      </c>
      <c r="AC29">
        <v>0</v>
      </c>
    </row>
    <row r="30" spans="2:29">
      <c r="D30">
        <f>-0.5*I10*SIN(RADIANS(E10))*COS(RADIANS(90-E10))</f>
        <v>-7.0732206176261823</v>
      </c>
      <c r="E30">
        <f>0.5*I10*SIN(RADIANS(E10))*SIN(RADIANS(90-E10))</f>
        <v>1.4968802419182947</v>
      </c>
      <c r="I30">
        <f>-0.5*I11*SIN(RADIANS(E11))*COS(RADIANS(90-E11))</f>
        <v>-7.0732206176261823</v>
      </c>
      <c r="J30">
        <f>0.5*I11*SIN(RADIANS(E11))*SIN(RADIANS(90-E11))</f>
        <v>1.4968802419182947</v>
      </c>
      <c r="M30">
        <f>-0.5*I12*SIN(RADIANS(E12))*COS(RADIANS(90-E12))</f>
        <v>-7.0732206176261823</v>
      </c>
      <c r="N30">
        <f>0.5*I12*SIN(RADIANS(E12))*SIN(RADIANS(90-E12))</f>
        <v>1.4968802419182947</v>
      </c>
      <c r="S30">
        <f>-0.5*X10*SIN(RADIANS(T10))*COS(RADIANS(90-T10))</f>
        <v>-2.5885690338795682</v>
      </c>
      <c r="T30">
        <f>0.5*X10*SIN(RADIANS(T10))*SIN(RADIANS(90-T10))</f>
        <v>0.54780955538132992</v>
      </c>
      <c r="X30">
        <f>-0.5*X11*SIN(RADIANS(T11))*COS(RADIANS(90-T11))</f>
        <v>-4.0065631265741812</v>
      </c>
      <c r="Y30">
        <f>0.5*X11*SIN(RADIANS(T11))*SIN(RADIANS(90-T11))</f>
        <v>0.84789454569282563</v>
      </c>
      <c r="AB30">
        <f>-0.5*X12*SIN(RADIANS(T12))*COS(RADIANS(90-T12))</f>
        <v>-5.3049154632196371</v>
      </c>
      <c r="AC30">
        <f>0.5*X12*SIN(RADIANS(T12))*SIN(RADIANS(90-T12))</f>
        <v>1.1226601814387214</v>
      </c>
    </row>
    <row r="32" spans="2:29">
      <c r="B32" t="s">
        <v>20</v>
      </c>
      <c r="D32">
        <f>D21</f>
        <v>-6.5709460339973944</v>
      </c>
      <c r="E32">
        <f>E21</f>
        <v>3.8702824962495184</v>
      </c>
      <c r="I32">
        <f>I21</f>
        <v>-6.122495353926201</v>
      </c>
      <c r="J32">
        <f>J21</f>
        <v>5.9893502128512512</v>
      </c>
      <c r="M32">
        <f>M21</f>
        <v>-5.7005459144132304</v>
      </c>
      <c r="N32">
        <f>N21</f>
        <v>7.9831913977239815</v>
      </c>
      <c r="Q32" t="s">
        <v>20</v>
      </c>
      <c r="S32">
        <f>S21</f>
        <v>-1.8854460339973946</v>
      </c>
      <c r="T32">
        <f>T21</f>
        <v>3.8702824962495184</v>
      </c>
      <c r="X32">
        <f>X21</f>
        <v>-2.9184953539262009</v>
      </c>
      <c r="Y32">
        <f>Y21</f>
        <v>5.9893502128512512</v>
      </c>
      <c r="AB32">
        <f>AB21</f>
        <v>-3.8530459144132312</v>
      </c>
      <c r="AC32">
        <f>AC21</f>
        <v>7.9831913977239815</v>
      </c>
    </row>
    <row r="33" spans="2:29">
      <c r="D33">
        <f>D30</f>
        <v>-7.0732206176261823</v>
      </c>
      <c r="E33">
        <f>E30</f>
        <v>1.4968802419182947</v>
      </c>
      <c r="I33">
        <f>I30</f>
        <v>-7.0732206176261823</v>
      </c>
      <c r="J33">
        <f>J30</f>
        <v>1.4968802419182947</v>
      </c>
      <c r="M33">
        <f>M30</f>
        <v>-7.0732206176261823</v>
      </c>
      <c r="N33">
        <f>N30</f>
        <v>1.4968802419182947</v>
      </c>
      <c r="S33">
        <f>S30</f>
        <v>-2.5885690338795682</v>
      </c>
      <c r="T33">
        <f>T30</f>
        <v>0.54780955538132992</v>
      </c>
      <c r="X33">
        <f>X30</f>
        <v>-4.0065631265741812</v>
      </c>
      <c r="Y33">
        <f>Y30</f>
        <v>0.84789454569282563</v>
      </c>
      <c r="AB33">
        <f>AB30</f>
        <v>-5.3049154632196371</v>
      </c>
      <c r="AC33">
        <f>AC30</f>
        <v>1.1226601814387214</v>
      </c>
    </row>
    <row r="37" spans="2:29">
      <c r="D37" s="4" t="s">
        <v>21</v>
      </c>
      <c r="E37" s="4" t="s">
        <v>22</v>
      </c>
      <c r="F37" s="4" t="s">
        <v>23</v>
      </c>
      <c r="S37" t="s">
        <v>24</v>
      </c>
      <c r="T37" t="s">
        <v>25</v>
      </c>
    </row>
    <row r="38" spans="2:29">
      <c r="B38" s="82" t="s">
        <v>26</v>
      </c>
      <c r="C38" s="24" t="s">
        <v>11</v>
      </c>
      <c r="D38">
        <v>0.59</v>
      </c>
      <c r="E38">
        <v>8.1199999999999992</v>
      </c>
      <c r="F38">
        <f>SQRT((E38^2)+(D38^2))</f>
        <v>8.1414065123908408</v>
      </c>
      <c r="Q38" t="s">
        <v>27</v>
      </c>
      <c r="S38">
        <v>0</v>
      </c>
      <c r="T38">
        <v>0</v>
      </c>
    </row>
    <row r="39" spans="2:29">
      <c r="B39" s="82"/>
      <c r="C39" s="24" t="s">
        <v>12</v>
      </c>
      <c r="D39">
        <v>1.27</v>
      </c>
      <c r="E39">
        <v>8.1199999999999992</v>
      </c>
      <c r="F39">
        <f t="shared" ref="F39:F43" si="0">SQRT((E39^2)+(D39^2))</f>
        <v>8.2187164447984191</v>
      </c>
      <c r="S39">
        <v>0</v>
      </c>
      <c r="T39">
        <f>D12+10</f>
        <v>18.16</v>
      </c>
    </row>
    <row r="40" spans="2:29">
      <c r="B40" s="82"/>
      <c r="C40" s="24" t="s">
        <v>13</v>
      </c>
      <c r="D40">
        <v>2.93</v>
      </c>
      <c r="E40">
        <v>8.1199999999999992</v>
      </c>
      <c r="F40">
        <f t="shared" si="0"/>
        <v>8.6324561973982803</v>
      </c>
      <c r="Q40" t="s">
        <v>28</v>
      </c>
      <c r="S40">
        <v>0</v>
      </c>
      <c r="T40">
        <v>0</v>
      </c>
    </row>
    <row r="41" spans="2:29">
      <c r="B41" s="82" t="s">
        <v>29</v>
      </c>
      <c r="C41" s="24" t="s">
        <v>11</v>
      </c>
      <c r="D41">
        <v>0.59</v>
      </c>
      <c r="E41">
        <v>1.31</v>
      </c>
      <c r="F41">
        <f t="shared" si="0"/>
        <v>1.4367324037551321</v>
      </c>
      <c r="S41">
        <v>0</v>
      </c>
      <c r="T41">
        <f>0-T39</f>
        <v>-18.16</v>
      </c>
    </row>
    <row r="42" spans="2:29">
      <c r="B42" s="82"/>
      <c r="C42" s="24" t="s">
        <v>12</v>
      </c>
      <c r="D42">
        <v>1.27</v>
      </c>
      <c r="E42">
        <v>2.83</v>
      </c>
      <c r="F42">
        <f t="shared" si="0"/>
        <v>3.1019026419280151</v>
      </c>
      <c r="Q42" t="s">
        <v>30</v>
      </c>
      <c r="S42">
        <v>0</v>
      </c>
      <c r="T42">
        <v>0</v>
      </c>
    </row>
    <row r="43" spans="2:29">
      <c r="B43" s="82"/>
      <c r="C43" s="24" t="s">
        <v>13</v>
      </c>
      <c r="D43">
        <v>2.93</v>
      </c>
      <c r="E43">
        <v>6.09</v>
      </c>
      <c r="F43">
        <f t="shared" si="0"/>
        <v>6.7581802284342789</v>
      </c>
      <c r="S43">
        <f>I10+10</f>
        <v>24.78</v>
      </c>
      <c r="T43">
        <v>0</v>
      </c>
    </row>
    <row r="44" spans="2:29">
      <c r="Q44" t="s">
        <v>31</v>
      </c>
      <c r="S44">
        <v>0</v>
      </c>
      <c r="T44">
        <v>0</v>
      </c>
    </row>
    <row r="45" spans="2:29">
      <c r="S45">
        <f>0-S43</f>
        <v>-24.78</v>
      </c>
      <c r="T45">
        <v>0</v>
      </c>
    </row>
    <row r="54" spans="16:39">
      <c r="S54" s="27" t="s">
        <v>63</v>
      </c>
    </row>
    <row r="55" spans="16:39">
      <c r="P55" t="s">
        <v>64</v>
      </c>
      <c r="Q55" t="e">
        <f>ABS(U55-U58)</f>
        <v>#REF!</v>
      </c>
      <c r="S55" s="26">
        <v>619</v>
      </c>
      <c r="T55">
        <f>S55*'LOCUS PH-G'!$C$5</f>
        <v>0</v>
      </c>
      <c r="U55" s="26" t="e">
        <f>VLOOKUP(T55,#REF!,2)*1000</f>
        <v>#REF!</v>
      </c>
    </row>
    <row r="56" spans="16:39">
      <c r="X56" t="s">
        <v>65</v>
      </c>
      <c r="AG56" t="s">
        <v>66</v>
      </c>
    </row>
    <row r="57" spans="16:39">
      <c r="S57" t="s">
        <v>32</v>
      </c>
      <c r="U57" t="s">
        <v>0</v>
      </c>
      <c r="X57" t="s">
        <v>33</v>
      </c>
      <c r="AC57" t="s">
        <v>34</v>
      </c>
      <c r="AD57" t="s">
        <v>35</v>
      </c>
      <c r="AG57" t="s">
        <v>33</v>
      </c>
      <c r="AL57" t="s">
        <v>34</v>
      </c>
      <c r="AM57" t="s">
        <v>35</v>
      </c>
    </row>
    <row r="58" spans="16:39">
      <c r="S58" s="28">
        <v>820</v>
      </c>
      <c r="T58">
        <f>S58*'LOCUS PH-G'!$C$5</f>
        <v>0</v>
      </c>
      <c r="U58" s="28" t="e">
        <f>VLOOKUP(T58,#REF!,2)*1000</f>
        <v>#REF!</v>
      </c>
      <c r="X58" s="15" t="e">
        <f>VLOOKUP($U$58,#REF!,49)</f>
        <v>#REF!</v>
      </c>
      <c r="AC58" t="e">
        <f>IMREAL(X58)</f>
        <v>#REF!</v>
      </c>
      <c r="AD58" t="e">
        <f>IMAGINARY(X58)</f>
        <v>#REF!</v>
      </c>
      <c r="AG58" s="15" t="e">
        <f>VLOOKUP($U$55,#REF!,49)</f>
        <v>#REF!</v>
      </c>
      <c r="AL58" t="e">
        <f>IMREAL(AG58)</f>
        <v>#REF!</v>
      </c>
      <c r="AM58" t="e">
        <f>IMAGINARY(AG58)</f>
        <v>#REF!</v>
      </c>
    </row>
    <row r="60" spans="16:39">
      <c r="S60" t="s">
        <v>22</v>
      </c>
      <c r="T60" t="s">
        <v>36</v>
      </c>
      <c r="X60" t="s">
        <v>37</v>
      </c>
      <c r="AG60" t="s">
        <v>37</v>
      </c>
    </row>
    <row r="61" spans="16:39">
      <c r="X61" s="15" t="e">
        <f>VLOOKUP($U$58,#REF!,52)</f>
        <v>#REF!</v>
      </c>
      <c r="AC61" t="e">
        <f>IMREAL(X61)</f>
        <v>#REF!</v>
      </c>
      <c r="AD61" t="e">
        <f>IMAGINARY(X61)</f>
        <v>#REF!</v>
      </c>
      <c r="AG61" s="15" t="e">
        <f>VLOOKUP($U$55,#REF!,52)</f>
        <v>#REF!</v>
      </c>
      <c r="AL61" t="e">
        <f>IMREAL(AG61)</f>
        <v>#REF!</v>
      </c>
      <c r="AM61" t="e">
        <f>IMAGINARY(AG61)</f>
        <v>#REF!</v>
      </c>
    </row>
    <row r="63" spans="16:39">
      <c r="P63" s="43" t="s">
        <v>67</v>
      </c>
      <c r="S63">
        <v>78</v>
      </c>
      <c r="X63" t="s">
        <v>38</v>
      </c>
      <c r="AG63" t="s">
        <v>38</v>
      </c>
    </row>
    <row r="64" spans="16:39">
      <c r="X64" s="15" t="e">
        <f>VLOOKUP($U$58,#REF!,55)</f>
        <v>#REF!</v>
      </c>
      <c r="AC64" t="e">
        <f>IMREAL(X64)</f>
        <v>#REF!</v>
      </c>
      <c r="AD64" t="e">
        <f>IMAGINARY(X64)</f>
        <v>#REF!</v>
      </c>
      <c r="AG64" s="15" t="e">
        <f>VLOOKUP($U$55,#REF!,55)</f>
        <v>#REF!</v>
      </c>
      <c r="AL64" t="e">
        <f>IMREAL(AG64)</f>
        <v>#REF!</v>
      </c>
      <c r="AM64" t="e">
        <f>IMAGINARY(AG64)</f>
        <v>#REF!</v>
      </c>
    </row>
    <row r="66" spans="24:39">
      <c r="X66" t="s">
        <v>39</v>
      </c>
      <c r="AG66" t="s">
        <v>39</v>
      </c>
    </row>
    <row r="67" spans="24:39">
      <c r="X67" s="15" t="e">
        <f>VLOOKUP($U$58,#REF!,58)</f>
        <v>#REF!</v>
      </c>
      <c r="AC67" t="e">
        <f>IMREAL(X67)</f>
        <v>#REF!</v>
      </c>
      <c r="AD67" t="e">
        <f>IMAGINARY(X67)</f>
        <v>#REF!</v>
      </c>
      <c r="AG67" s="15" t="e">
        <f>VLOOKUP($U$55,#REF!,58)</f>
        <v>#REF!</v>
      </c>
      <c r="AL67" t="e">
        <f>IMREAL(AG67)</f>
        <v>#REF!</v>
      </c>
      <c r="AM67" t="e">
        <f>IMAGINARY(AG67)</f>
        <v>#REF!</v>
      </c>
    </row>
    <row r="69" spans="24:39">
      <c r="X69" t="s">
        <v>40</v>
      </c>
      <c r="AG69" t="s">
        <v>40</v>
      </c>
    </row>
    <row r="70" spans="24:39">
      <c r="X70" s="15" t="e">
        <f>VLOOKUP($U$58,#REF!,61)</f>
        <v>#REF!</v>
      </c>
      <c r="AC70" t="e">
        <f>IMREAL(X70)</f>
        <v>#REF!</v>
      </c>
      <c r="AD70" t="e">
        <f>IMAGINARY(X70)</f>
        <v>#REF!</v>
      </c>
      <c r="AG70" s="15" t="e">
        <f>VLOOKUP($U$55,#REF!,61)</f>
        <v>#REF!</v>
      </c>
      <c r="AL70" t="e">
        <f>IMREAL(AG70)</f>
        <v>#REF!</v>
      </c>
      <c r="AM70" t="e">
        <f>IMAGINARY(AG70)</f>
        <v>#REF!</v>
      </c>
    </row>
    <row r="72" spans="24:39">
      <c r="X72" t="s">
        <v>41</v>
      </c>
      <c r="AG72" t="s">
        <v>41</v>
      </c>
    </row>
    <row r="73" spans="24:39">
      <c r="X73" s="15" t="e">
        <f>VLOOKUP($U$58,#REF!,64)</f>
        <v>#REF!</v>
      </c>
      <c r="AC73" t="e">
        <f>IMREAL(X73)</f>
        <v>#REF!</v>
      </c>
      <c r="AD73" t="e">
        <f>IMAGINARY(X73)</f>
        <v>#REF!</v>
      </c>
      <c r="AG73" s="15" t="e">
        <f>VLOOKUP($U$55,#REF!,64)</f>
        <v>#REF!</v>
      </c>
      <c r="AL73" t="e">
        <f>IMREAL(AG73)</f>
        <v>#REF!</v>
      </c>
      <c r="AM73" t="e">
        <f>IMAGINARY(AG73)</f>
        <v>#REF!</v>
      </c>
    </row>
  </sheetData>
  <mergeCells count="2">
    <mergeCell ref="B38:B40"/>
    <mergeCell ref="B41:B43"/>
  </mergeCells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0000"/>
  </sheetPr>
  <dimension ref="A1:AC143"/>
  <sheetViews>
    <sheetView tabSelected="1" workbookViewId="0">
      <pane ySplit="1" topLeftCell="A2" activePane="bottomLeft" state="frozen"/>
      <selection activeCell="Y17" sqref="Y17"/>
      <selection pane="bottomLeft" activeCell="U7" sqref="U7"/>
    </sheetView>
  </sheetViews>
  <sheetFormatPr defaultColWidth="9.140625" defaultRowHeight="15"/>
  <cols>
    <col min="1" max="1" width="4.5703125" customWidth="1"/>
    <col min="2" max="2" width="43" customWidth="1"/>
    <col min="3" max="15" width="10.7109375" style="3" customWidth="1"/>
    <col min="16" max="16" width="11" style="3" customWidth="1"/>
    <col min="17" max="17" width="9.140625" style="4"/>
    <col min="28" max="28" width="45.7109375" customWidth="1"/>
  </cols>
  <sheetData>
    <row r="1" spans="1:29">
      <c r="A1" s="5" t="s">
        <v>42</v>
      </c>
      <c r="B1" s="5" t="s">
        <v>43</v>
      </c>
      <c r="C1" s="5" t="s">
        <v>44</v>
      </c>
      <c r="D1" s="5" t="s">
        <v>45</v>
      </c>
      <c r="E1" s="5" t="s">
        <v>46</v>
      </c>
      <c r="F1" s="5" t="s">
        <v>47</v>
      </c>
      <c r="G1" s="5" t="s">
        <v>48</v>
      </c>
      <c r="H1" s="5" t="s">
        <v>49</v>
      </c>
      <c r="I1" s="5" t="s">
        <v>50</v>
      </c>
      <c r="J1" s="5" t="s">
        <v>51</v>
      </c>
      <c r="K1" s="5" t="s">
        <v>52</v>
      </c>
      <c r="L1" s="5" t="s">
        <v>53</v>
      </c>
      <c r="M1" s="5" t="s">
        <v>54</v>
      </c>
      <c r="N1" s="5" t="s">
        <v>55</v>
      </c>
      <c r="O1" s="5" t="s">
        <v>56</v>
      </c>
      <c r="P1" s="5" t="s">
        <v>57</v>
      </c>
      <c r="Q1" s="87" t="s">
        <v>42</v>
      </c>
      <c r="AB1" s="83" t="s">
        <v>58</v>
      </c>
      <c r="AC1" s="83"/>
    </row>
    <row r="2" spans="1:29">
      <c r="A2" s="6">
        <v>1</v>
      </c>
      <c r="B2" s="6" t="s">
        <v>74</v>
      </c>
      <c r="C2" s="7">
        <v>3.7829999999999999</v>
      </c>
      <c r="D2" s="8">
        <v>5.5289999999999999</v>
      </c>
      <c r="E2" s="8">
        <v>8.0739999999999998</v>
      </c>
      <c r="F2" s="8">
        <v>2.597</v>
      </c>
      <c r="G2" s="8">
        <v>3.7949999999999999</v>
      </c>
      <c r="H2" s="8">
        <v>5.5430000000000001</v>
      </c>
      <c r="I2" s="8">
        <v>3.7829999999999999</v>
      </c>
      <c r="J2" s="8">
        <v>5.5289999999999999</v>
      </c>
      <c r="K2" s="8">
        <v>8.0739999999999998</v>
      </c>
      <c r="L2" s="17">
        <v>7.39</v>
      </c>
      <c r="M2" s="8">
        <v>78.051000000000002</v>
      </c>
      <c r="N2" s="17">
        <v>3.08</v>
      </c>
      <c r="O2" s="8">
        <v>-1.909</v>
      </c>
      <c r="P2" s="2" t="s">
        <v>59</v>
      </c>
      <c r="Q2" s="88">
        <v>0</v>
      </c>
      <c r="AB2" s="6" t="str">
        <f>'LOCUS PH-G'!$C$4</f>
        <v>LINE 7</v>
      </c>
      <c r="AC2" s="6" t="b">
        <f>IF(AB2=B2,A2)</f>
        <v>0</v>
      </c>
    </row>
    <row r="3" spans="1:29">
      <c r="A3" s="6">
        <v>2</v>
      </c>
      <c r="B3" s="6" t="s">
        <v>75</v>
      </c>
      <c r="C3" s="9">
        <v>1.1339999999999999</v>
      </c>
      <c r="D3" s="10">
        <v>2.742</v>
      </c>
      <c r="E3" s="10">
        <v>4.8520000000000003</v>
      </c>
      <c r="F3" s="10">
        <v>1.296</v>
      </c>
      <c r="G3" s="10">
        <v>3.133</v>
      </c>
      <c r="H3" s="10">
        <v>5.5430000000000001</v>
      </c>
      <c r="I3" s="10">
        <v>1.1339999999999999</v>
      </c>
      <c r="J3" s="10">
        <v>2.742</v>
      </c>
      <c r="K3" s="10">
        <v>4.8520000000000003</v>
      </c>
      <c r="L3" s="12">
        <v>7.39</v>
      </c>
      <c r="M3" s="10">
        <v>78.051000000000002</v>
      </c>
      <c r="N3" s="12">
        <v>3.08</v>
      </c>
      <c r="O3" s="10">
        <v>-1.909</v>
      </c>
      <c r="P3" s="2" t="s">
        <v>59</v>
      </c>
      <c r="Q3" s="88">
        <v>0</v>
      </c>
      <c r="AB3" s="6" t="str">
        <f>'LOCUS PH-G'!$C$4</f>
        <v>LINE 7</v>
      </c>
      <c r="AC3" s="6" t="b">
        <f t="shared" ref="AC3:AC34" si="0">IF(AB3=B3,A3)</f>
        <v>0</v>
      </c>
    </row>
    <row r="4" spans="1:29">
      <c r="A4" s="6">
        <v>3</v>
      </c>
      <c r="B4" s="6" t="s">
        <v>76</v>
      </c>
      <c r="C4" s="9">
        <v>5.99</v>
      </c>
      <c r="D4" s="10">
        <v>8.16</v>
      </c>
      <c r="E4" s="10">
        <v>11.98</v>
      </c>
      <c r="F4" s="10">
        <v>1.82</v>
      </c>
      <c r="G4" s="10">
        <v>2.48</v>
      </c>
      <c r="H4" s="10">
        <v>3.63</v>
      </c>
      <c r="I4" s="10">
        <v>30.92</v>
      </c>
      <c r="J4" s="10">
        <v>42.13</v>
      </c>
      <c r="K4" s="10">
        <v>61.84</v>
      </c>
      <c r="L4" s="10">
        <v>92.38</v>
      </c>
      <c r="M4" s="12">
        <v>73.13</v>
      </c>
      <c r="N4" s="10">
        <v>5.1349999999999998</v>
      </c>
      <c r="O4" s="10">
        <v>0.97499999999999998</v>
      </c>
      <c r="P4" s="2" t="s">
        <v>60</v>
      </c>
      <c r="Q4" s="88">
        <v>0</v>
      </c>
      <c r="AB4" s="6" t="str">
        <f>'LOCUS PH-G'!$C$4</f>
        <v>LINE 7</v>
      </c>
      <c r="AC4" s="6" t="b">
        <f t="shared" si="0"/>
        <v>0</v>
      </c>
    </row>
    <row r="5" spans="1:29">
      <c r="A5" s="6">
        <v>4</v>
      </c>
      <c r="B5" s="6" t="s">
        <v>77</v>
      </c>
      <c r="C5" s="9">
        <v>5.99</v>
      </c>
      <c r="D5" s="10">
        <v>8.16</v>
      </c>
      <c r="E5" s="10">
        <v>11.98</v>
      </c>
      <c r="F5" s="10">
        <v>1.82</v>
      </c>
      <c r="G5" s="10">
        <v>2.48</v>
      </c>
      <c r="H5" s="10">
        <v>3.63</v>
      </c>
      <c r="I5" s="10">
        <v>30.92</v>
      </c>
      <c r="J5" s="10">
        <v>42.13</v>
      </c>
      <c r="K5" s="10">
        <v>61.84</v>
      </c>
      <c r="L5" s="10">
        <v>92.38</v>
      </c>
      <c r="M5" s="12">
        <v>73.13</v>
      </c>
      <c r="N5" s="10">
        <v>5.1349999999999998</v>
      </c>
      <c r="O5" s="10">
        <v>0.97499999999999998</v>
      </c>
      <c r="P5" s="2" t="s">
        <v>60</v>
      </c>
      <c r="Q5" s="88">
        <v>0</v>
      </c>
      <c r="AB5" s="6" t="str">
        <f>'LOCUS PH-G'!$C$4</f>
        <v>LINE 7</v>
      </c>
      <c r="AC5" s="6" t="b">
        <f t="shared" si="0"/>
        <v>0</v>
      </c>
    </row>
    <row r="6" spans="1:29">
      <c r="A6" s="6">
        <v>5</v>
      </c>
      <c r="B6" s="6" t="s">
        <v>78</v>
      </c>
      <c r="C6" s="11">
        <v>5.9</v>
      </c>
      <c r="D6" s="10">
        <v>10.33</v>
      </c>
      <c r="E6" s="10">
        <v>14.61</v>
      </c>
      <c r="F6" s="10">
        <v>1.85</v>
      </c>
      <c r="G6" s="10">
        <v>3.24</v>
      </c>
      <c r="H6" s="10">
        <v>4.58</v>
      </c>
      <c r="I6" s="10">
        <v>17.71</v>
      </c>
      <c r="J6" s="13">
        <v>31</v>
      </c>
      <c r="K6" s="10">
        <v>43.84</v>
      </c>
      <c r="L6" s="10">
        <v>46.19</v>
      </c>
      <c r="M6" s="10">
        <v>72.611000000000004</v>
      </c>
      <c r="N6" s="10">
        <v>3.032</v>
      </c>
      <c r="O6" s="10">
        <v>-1.8140000000000001</v>
      </c>
      <c r="P6" s="2" t="s">
        <v>60</v>
      </c>
      <c r="Q6" s="88">
        <v>0</v>
      </c>
      <c r="AB6" s="6" t="str">
        <f>'LOCUS PH-G'!$C$4</f>
        <v>LINE 7</v>
      </c>
      <c r="AC6" s="6" t="b">
        <f t="shared" si="0"/>
        <v>0</v>
      </c>
    </row>
    <row r="7" spans="1:29">
      <c r="A7" s="6">
        <v>6</v>
      </c>
      <c r="B7" s="6" t="s">
        <v>79</v>
      </c>
      <c r="C7" s="11">
        <v>5.9</v>
      </c>
      <c r="D7" s="10">
        <v>10.33</v>
      </c>
      <c r="E7" s="10">
        <v>14.61</v>
      </c>
      <c r="F7" s="10">
        <v>1.85</v>
      </c>
      <c r="G7" s="10">
        <v>3.24</v>
      </c>
      <c r="H7" s="10">
        <v>4.58</v>
      </c>
      <c r="I7" s="10">
        <v>17.71</v>
      </c>
      <c r="J7" s="13">
        <v>31</v>
      </c>
      <c r="K7" s="10">
        <v>43.84</v>
      </c>
      <c r="L7" s="10">
        <v>46.19</v>
      </c>
      <c r="M7" s="10">
        <v>72.611000000000004</v>
      </c>
      <c r="N7" s="10">
        <v>3.032</v>
      </c>
      <c r="O7" s="10">
        <v>-1.8140000000000001</v>
      </c>
      <c r="P7" s="2" t="s">
        <v>60</v>
      </c>
      <c r="Q7" s="88">
        <v>0</v>
      </c>
      <c r="AB7" s="6" t="str">
        <f>'LOCUS PH-G'!$C$4</f>
        <v>LINE 7</v>
      </c>
      <c r="AC7" s="6" t="b">
        <f t="shared" si="0"/>
        <v>0</v>
      </c>
    </row>
    <row r="8" spans="1:29">
      <c r="A8" s="6">
        <v>7</v>
      </c>
      <c r="B8" s="6" t="s">
        <v>80</v>
      </c>
      <c r="C8" s="9">
        <v>3.956</v>
      </c>
      <c r="D8" s="10">
        <v>6.1219999999999999</v>
      </c>
      <c r="E8" s="12">
        <v>8.16</v>
      </c>
      <c r="F8" s="10">
        <v>5.4089999999999998</v>
      </c>
      <c r="G8" s="10">
        <v>8.3719999999999999</v>
      </c>
      <c r="H8" s="10">
        <v>11.085000000000001</v>
      </c>
      <c r="I8" s="10">
        <v>3.956</v>
      </c>
      <c r="J8" s="10">
        <v>6.1219999999999999</v>
      </c>
      <c r="K8" s="12">
        <v>8.16</v>
      </c>
      <c r="L8" s="12">
        <v>14.78</v>
      </c>
      <c r="M8" s="10">
        <v>78.051000000000002</v>
      </c>
      <c r="N8" s="12">
        <v>3.08</v>
      </c>
      <c r="O8" s="10">
        <v>-1.909</v>
      </c>
      <c r="P8" s="2" t="s">
        <v>59</v>
      </c>
      <c r="Q8" s="88">
        <v>0</v>
      </c>
      <c r="AB8" s="6" t="str">
        <f>'LOCUS PH-G'!$C$4</f>
        <v>LINE 7</v>
      </c>
      <c r="AC8" s="6">
        <f t="shared" si="0"/>
        <v>7</v>
      </c>
    </row>
    <row r="9" spans="1:29">
      <c r="A9" s="6">
        <v>8</v>
      </c>
      <c r="B9" s="6" t="s">
        <v>81</v>
      </c>
      <c r="C9" s="9">
        <v>3.956</v>
      </c>
      <c r="D9" s="10">
        <v>6.1219999999999999</v>
      </c>
      <c r="E9" s="12">
        <v>8.16</v>
      </c>
      <c r="F9" s="10">
        <v>5.4089999999999998</v>
      </c>
      <c r="G9" s="10">
        <v>8.3719999999999999</v>
      </c>
      <c r="H9" s="10">
        <v>11.085000000000001</v>
      </c>
      <c r="I9" s="10">
        <v>3.956</v>
      </c>
      <c r="J9" s="10">
        <v>6.1219999999999999</v>
      </c>
      <c r="K9" s="12">
        <v>8.16</v>
      </c>
      <c r="L9" s="12">
        <v>14.78</v>
      </c>
      <c r="M9" s="10">
        <v>78.051000000000002</v>
      </c>
      <c r="N9" s="12">
        <v>3.08</v>
      </c>
      <c r="O9" s="10">
        <v>-1.909</v>
      </c>
      <c r="P9" s="2" t="s">
        <v>59</v>
      </c>
      <c r="Q9" s="88">
        <v>0</v>
      </c>
      <c r="AB9" s="6" t="str">
        <f>'LOCUS PH-G'!$C$4</f>
        <v>LINE 7</v>
      </c>
      <c r="AC9" s="6" t="b">
        <f t="shared" si="0"/>
        <v>0</v>
      </c>
    </row>
    <row r="10" spans="1:29">
      <c r="A10" s="6">
        <v>9</v>
      </c>
      <c r="B10" s="6" t="s">
        <v>82</v>
      </c>
      <c r="C10" s="9">
        <v>4.2750000000000004</v>
      </c>
      <c r="D10" s="10">
        <v>6.4119999999999999</v>
      </c>
      <c r="E10" s="10">
        <v>8.5489999999999995</v>
      </c>
      <c r="F10" s="10">
        <v>27.713000000000001</v>
      </c>
      <c r="G10" s="10">
        <v>41.569000000000003</v>
      </c>
      <c r="H10" s="10">
        <v>55.426000000000002</v>
      </c>
      <c r="I10" s="10">
        <v>4.2750000000000004</v>
      </c>
      <c r="J10" s="10">
        <v>6.4119999999999999</v>
      </c>
      <c r="K10" s="10">
        <v>8.5489999999999995</v>
      </c>
      <c r="L10" s="10">
        <v>73.900999999999996</v>
      </c>
      <c r="M10" s="10">
        <v>78.051400000000001</v>
      </c>
      <c r="N10" s="10">
        <v>3.0802</v>
      </c>
      <c r="O10" s="10">
        <v>-1.9092</v>
      </c>
      <c r="P10" s="2" t="s">
        <v>60</v>
      </c>
      <c r="Q10" s="88">
        <v>0</v>
      </c>
      <c r="AB10" s="6" t="str">
        <f>'LOCUS PH-G'!$C$4</f>
        <v>LINE 7</v>
      </c>
      <c r="AC10" s="6" t="b">
        <f t="shared" si="0"/>
        <v>0</v>
      </c>
    </row>
    <row r="11" spans="1:29">
      <c r="A11" s="6">
        <v>10</v>
      </c>
      <c r="B11" s="6" t="s">
        <v>83</v>
      </c>
      <c r="C11" s="9">
        <v>4.2750000000000004</v>
      </c>
      <c r="D11" s="10">
        <v>6.4119999999999999</v>
      </c>
      <c r="E11" s="10">
        <v>8.5489999999999995</v>
      </c>
      <c r="F11" s="10">
        <v>27.713000000000001</v>
      </c>
      <c r="G11" s="10">
        <v>41.569000000000003</v>
      </c>
      <c r="H11" s="10">
        <v>55.426000000000002</v>
      </c>
      <c r="I11" s="10">
        <v>4.2750000000000004</v>
      </c>
      <c r="J11" s="10">
        <v>6.4119999999999999</v>
      </c>
      <c r="K11" s="10">
        <v>8.5489999999999995</v>
      </c>
      <c r="L11" s="10">
        <v>73.900999999999996</v>
      </c>
      <c r="M11" s="10">
        <v>78.051400000000001</v>
      </c>
      <c r="N11" s="10">
        <v>3.0802</v>
      </c>
      <c r="O11" s="10">
        <v>-1.9092</v>
      </c>
      <c r="P11" s="2" t="s">
        <v>60</v>
      </c>
      <c r="Q11" s="88">
        <v>0</v>
      </c>
      <c r="AB11" s="6" t="str">
        <f>'LOCUS PH-G'!$C$4</f>
        <v>LINE 7</v>
      </c>
      <c r="AC11" s="6" t="b">
        <f t="shared" si="0"/>
        <v>0</v>
      </c>
    </row>
    <row r="12" spans="1:29">
      <c r="A12" s="6">
        <v>11</v>
      </c>
      <c r="B12" s="6" t="s">
        <v>84</v>
      </c>
      <c r="C12" s="9">
        <v>3.5960000000000001</v>
      </c>
      <c r="D12" s="10">
        <v>5.2149999999999999</v>
      </c>
      <c r="E12" s="10">
        <v>7.1920000000000002</v>
      </c>
      <c r="F12" s="10">
        <v>27.713000000000001</v>
      </c>
      <c r="G12" s="10">
        <v>40.186</v>
      </c>
      <c r="H12" s="10">
        <v>55.426000000000002</v>
      </c>
      <c r="I12" s="10">
        <v>3.5960000000000001</v>
      </c>
      <c r="J12" s="10">
        <v>5.125</v>
      </c>
      <c r="K12" s="10">
        <v>7.1920000000000002</v>
      </c>
      <c r="L12" s="10">
        <v>73.900999999999996</v>
      </c>
      <c r="M12" s="10">
        <v>78.051400000000001</v>
      </c>
      <c r="N12" s="10">
        <v>3.0802</v>
      </c>
      <c r="O12" s="10">
        <v>-1.9092</v>
      </c>
      <c r="P12" s="2" t="s">
        <v>60</v>
      </c>
      <c r="Q12" s="88">
        <v>0</v>
      </c>
      <c r="AB12" s="6" t="str">
        <f>'LOCUS PH-G'!$C$4</f>
        <v>LINE 7</v>
      </c>
      <c r="AC12" s="6" t="b">
        <f t="shared" si="0"/>
        <v>0</v>
      </c>
    </row>
    <row r="13" spans="1:29">
      <c r="A13" s="6">
        <v>12</v>
      </c>
      <c r="B13" s="6" t="s">
        <v>85</v>
      </c>
      <c r="C13" s="9">
        <v>3.5960000000000001</v>
      </c>
      <c r="D13" s="10">
        <v>5.2149999999999999</v>
      </c>
      <c r="E13" s="10">
        <v>7.1920000000000002</v>
      </c>
      <c r="F13" s="10">
        <v>27.713000000000001</v>
      </c>
      <c r="G13" s="10">
        <v>40.186</v>
      </c>
      <c r="H13" s="10">
        <v>55.426000000000002</v>
      </c>
      <c r="I13" s="10">
        <v>3.5960000000000001</v>
      </c>
      <c r="J13" s="10">
        <v>5.125</v>
      </c>
      <c r="K13" s="10">
        <v>7.1920000000000002</v>
      </c>
      <c r="L13" s="10">
        <v>73.900999999999996</v>
      </c>
      <c r="M13" s="10">
        <v>78.051400000000001</v>
      </c>
      <c r="N13" s="10">
        <v>3.0802</v>
      </c>
      <c r="O13" s="10">
        <v>-1.9092</v>
      </c>
      <c r="P13" s="2" t="s">
        <v>60</v>
      </c>
      <c r="Q13" s="88">
        <v>0</v>
      </c>
      <c r="AB13" s="6" t="str">
        <f>'LOCUS PH-G'!$C$4</f>
        <v>LINE 7</v>
      </c>
      <c r="AC13" s="6" t="b">
        <f t="shared" si="0"/>
        <v>0</v>
      </c>
    </row>
    <row r="14" spans="1:29">
      <c r="A14" s="6">
        <v>13</v>
      </c>
      <c r="B14" s="6" t="s">
        <v>86</v>
      </c>
      <c r="C14" s="9">
        <v>13.24</v>
      </c>
      <c r="D14" s="10">
        <v>19.87</v>
      </c>
      <c r="E14" s="10">
        <v>31.02</v>
      </c>
      <c r="F14" s="10">
        <v>11.83</v>
      </c>
      <c r="G14" s="10">
        <v>17.75</v>
      </c>
      <c r="H14" s="10">
        <v>27.71</v>
      </c>
      <c r="I14" s="10">
        <v>13.24</v>
      </c>
      <c r="J14" s="10">
        <v>19.87</v>
      </c>
      <c r="K14" s="10">
        <v>31.02</v>
      </c>
      <c r="L14" s="12">
        <v>36.950000000000003</v>
      </c>
      <c r="M14" s="10">
        <v>78</v>
      </c>
      <c r="N14" s="12">
        <v>3.08</v>
      </c>
      <c r="O14" s="10">
        <v>-1.909</v>
      </c>
      <c r="P14" s="2" t="s">
        <v>60</v>
      </c>
      <c r="Q14" s="88">
        <v>0</v>
      </c>
      <c r="AB14" s="6" t="str">
        <f>'LOCUS PH-G'!$C$4</f>
        <v>LINE 7</v>
      </c>
      <c r="AC14" s="6" t="b">
        <f t="shared" si="0"/>
        <v>0</v>
      </c>
    </row>
    <row r="15" spans="1:29">
      <c r="A15" s="6">
        <v>14</v>
      </c>
      <c r="B15" s="6" t="s">
        <v>87</v>
      </c>
      <c r="C15" s="9">
        <v>5.67</v>
      </c>
      <c r="D15" s="10">
        <v>9.49</v>
      </c>
      <c r="E15" s="13">
        <v>15.7</v>
      </c>
      <c r="F15" s="10">
        <v>10.01</v>
      </c>
      <c r="G15" s="10">
        <v>16.75</v>
      </c>
      <c r="H15" s="10">
        <v>27.71</v>
      </c>
      <c r="I15" s="10">
        <v>5.67</v>
      </c>
      <c r="J15" s="10">
        <v>9.49</v>
      </c>
      <c r="K15" s="13">
        <v>15.7</v>
      </c>
      <c r="L15" s="12">
        <v>36.950000000000003</v>
      </c>
      <c r="M15" s="10">
        <v>78</v>
      </c>
      <c r="N15" s="12">
        <v>3.08</v>
      </c>
      <c r="O15" s="10">
        <v>-1.909</v>
      </c>
      <c r="P15" s="2" t="s">
        <v>60</v>
      </c>
      <c r="Q15" s="88">
        <v>0</v>
      </c>
      <c r="AB15" s="6" t="str">
        <f>'LOCUS PH-G'!$C$4</f>
        <v>LINE 7</v>
      </c>
      <c r="AC15" s="6" t="b">
        <f t="shared" si="0"/>
        <v>0</v>
      </c>
    </row>
    <row r="16" spans="1:29">
      <c r="A16" s="6">
        <v>15</v>
      </c>
      <c r="B16" s="6" t="s">
        <v>88</v>
      </c>
      <c r="C16" s="9">
        <v>0.96699999999999997</v>
      </c>
      <c r="D16" s="10">
        <v>1.6919999999999999</v>
      </c>
      <c r="E16" s="10">
        <v>2.3929999999999998</v>
      </c>
      <c r="F16" s="10">
        <v>4.4790000000000001</v>
      </c>
      <c r="G16" s="10">
        <v>7.383</v>
      </c>
      <c r="H16" s="10">
        <v>11.085000000000001</v>
      </c>
      <c r="I16" s="10">
        <v>0.96699999999999997</v>
      </c>
      <c r="J16" s="10">
        <v>1.6919999999999999</v>
      </c>
      <c r="K16" s="10">
        <v>2.3929999999999998</v>
      </c>
      <c r="L16" s="12">
        <v>14.78</v>
      </c>
      <c r="M16" s="12">
        <v>73.13</v>
      </c>
      <c r="N16" s="10">
        <v>5.1349999999999998</v>
      </c>
      <c r="O16" s="10">
        <v>0.97499999999999998</v>
      </c>
      <c r="P16" s="2" t="s">
        <v>59</v>
      </c>
      <c r="Q16" s="88">
        <v>0</v>
      </c>
      <c r="AB16" s="6" t="str">
        <f>'LOCUS PH-G'!$C$4</f>
        <v>LINE 7</v>
      </c>
      <c r="AC16" s="6" t="b">
        <f t="shared" si="0"/>
        <v>0</v>
      </c>
    </row>
    <row r="17" spans="1:29">
      <c r="A17" s="15">
        <v>16</v>
      </c>
      <c r="B17" s="15" t="s">
        <v>89</v>
      </c>
      <c r="C17" s="84">
        <v>0.96699999999999997</v>
      </c>
      <c r="D17" s="85">
        <v>1.6919999999999999</v>
      </c>
      <c r="E17" s="85">
        <v>2.3929999999999998</v>
      </c>
      <c r="F17" s="85">
        <v>4.4790000000000001</v>
      </c>
      <c r="G17" s="85">
        <v>7.383</v>
      </c>
      <c r="H17" s="85">
        <v>11.085000000000001</v>
      </c>
      <c r="I17" s="85">
        <v>0.96699999999999997</v>
      </c>
      <c r="J17" s="85">
        <v>1.6919999999999999</v>
      </c>
      <c r="K17" s="85">
        <v>2.3929999999999998</v>
      </c>
      <c r="L17" s="86">
        <v>14.78</v>
      </c>
      <c r="M17" s="86">
        <v>73.13</v>
      </c>
      <c r="N17" s="85">
        <v>5.1349999999999998</v>
      </c>
      <c r="O17" s="85">
        <v>0.97499999999999998</v>
      </c>
      <c r="P17" s="16" t="s">
        <v>59</v>
      </c>
      <c r="Q17" s="88">
        <v>0</v>
      </c>
      <c r="AB17" s="6" t="str">
        <f>'LOCUS PH-G'!$C$4</f>
        <v>LINE 7</v>
      </c>
      <c r="AC17" s="6" t="b">
        <f t="shared" si="0"/>
        <v>0</v>
      </c>
    </row>
    <row r="18" spans="1:29">
      <c r="A18" s="6">
        <v>17</v>
      </c>
      <c r="B18" s="6" t="s">
        <v>90</v>
      </c>
      <c r="C18" s="9">
        <v>1.1259999999999999</v>
      </c>
      <c r="D18" s="10">
        <v>1.7769999999999999</v>
      </c>
      <c r="E18" s="10">
        <v>2.3650000000000002</v>
      </c>
      <c r="F18" s="10">
        <v>2.6379999999999999</v>
      </c>
      <c r="G18" s="10">
        <v>4.1639999999999997</v>
      </c>
      <c r="H18" s="10">
        <v>5.5430000000000001</v>
      </c>
      <c r="I18" s="10">
        <v>1.1259999999999999</v>
      </c>
      <c r="J18" s="10">
        <v>1.7769999999999999</v>
      </c>
      <c r="K18" s="10">
        <v>2.3650000000000002</v>
      </c>
      <c r="L18" s="12">
        <v>7.39</v>
      </c>
      <c r="M18" s="10">
        <v>53.415599999999998</v>
      </c>
      <c r="N18" s="10">
        <v>4.1395999999999997</v>
      </c>
      <c r="O18" s="10">
        <v>26.595500000000001</v>
      </c>
      <c r="P18" s="2" t="s">
        <v>59</v>
      </c>
      <c r="Q18" s="20">
        <v>0</v>
      </c>
      <c r="AB18" s="6" t="str">
        <f>'LOCUS PH-G'!$C$4</f>
        <v>LINE 7</v>
      </c>
      <c r="AC18" s="6" t="b">
        <f t="shared" si="0"/>
        <v>0</v>
      </c>
    </row>
    <row r="19" spans="1:29">
      <c r="A19" s="6">
        <v>18</v>
      </c>
      <c r="B19" s="6" t="s">
        <v>91</v>
      </c>
      <c r="C19" s="9">
        <v>1.6879999999999999</v>
      </c>
      <c r="D19" s="10">
        <v>2.665</v>
      </c>
      <c r="E19" s="10">
        <v>3.548</v>
      </c>
      <c r="F19" s="10">
        <v>2.6379999999999999</v>
      </c>
      <c r="G19" s="10">
        <v>4.1639999999999997</v>
      </c>
      <c r="H19" s="10">
        <v>5.5430000000000001</v>
      </c>
      <c r="I19" s="10">
        <v>1.6879999999999999</v>
      </c>
      <c r="J19" s="10">
        <v>2.218</v>
      </c>
      <c r="K19" s="10">
        <v>3.548</v>
      </c>
      <c r="L19" s="12">
        <v>7.39</v>
      </c>
      <c r="M19" s="10">
        <v>53.415599999999998</v>
      </c>
      <c r="N19" s="10">
        <v>4.1395999999999997</v>
      </c>
      <c r="O19" s="10">
        <v>26.595500000000001</v>
      </c>
      <c r="P19" s="2" t="s">
        <v>59</v>
      </c>
      <c r="Q19" s="20">
        <v>0</v>
      </c>
      <c r="AB19" s="6" t="str">
        <f>'LOCUS PH-G'!$C$4</f>
        <v>LINE 7</v>
      </c>
      <c r="AC19" s="6" t="b">
        <f t="shared" si="0"/>
        <v>0</v>
      </c>
    </row>
    <row r="20" spans="1:29">
      <c r="A20" s="6">
        <v>19</v>
      </c>
      <c r="B20" s="6" t="s">
        <v>92</v>
      </c>
      <c r="C20" s="14">
        <v>0.72</v>
      </c>
      <c r="D20" s="10">
        <v>1.798</v>
      </c>
      <c r="E20" s="10">
        <v>3.2370000000000001</v>
      </c>
      <c r="F20" s="12">
        <v>6.16</v>
      </c>
      <c r="G20" s="10">
        <v>15.398</v>
      </c>
      <c r="H20" s="10">
        <v>27.713000000000001</v>
      </c>
      <c r="I20" s="12">
        <v>0.72</v>
      </c>
      <c r="J20" s="10">
        <v>1.798</v>
      </c>
      <c r="K20" s="10">
        <v>3.2370000000000001</v>
      </c>
      <c r="L20" s="12">
        <v>36.950000000000003</v>
      </c>
      <c r="M20" s="10">
        <v>53.415599999999998</v>
      </c>
      <c r="N20" s="10">
        <v>4.1395999999999997</v>
      </c>
      <c r="O20" s="10">
        <v>26.595500000000001</v>
      </c>
      <c r="P20" s="2" t="s">
        <v>60</v>
      </c>
      <c r="Q20" s="20">
        <v>0</v>
      </c>
      <c r="AB20" s="6" t="str">
        <f>'LOCUS PH-G'!$C$4</f>
        <v>LINE 7</v>
      </c>
      <c r="AC20" s="6" t="b">
        <f t="shared" si="0"/>
        <v>0</v>
      </c>
    </row>
    <row r="21" spans="1:29">
      <c r="A21" s="6">
        <v>20</v>
      </c>
      <c r="B21" s="6" t="s">
        <v>93</v>
      </c>
      <c r="C21" s="14">
        <v>0.72</v>
      </c>
      <c r="D21" s="10">
        <v>1.798</v>
      </c>
      <c r="E21" s="10">
        <v>3.2370000000000001</v>
      </c>
      <c r="F21" s="12">
        <v>6.16</v>
      </c>
      <c r="G21" s="10">
        <v>15.398</v>
      </c>
      <c r="H21" s="10">
        <v>27.713000000000001</v>
      </c>
      <c r="I21" s="12">
        <v>0.72</v>
      </c>
      <c r="J21" s="10">
        <v>1.798</v>
      </c>
      <c r="K21" s="10">
        <v>3.2370000000000001</v>
      </c>
      <c r="L21" s="12">
        <v>36.950000000000003</v>
      </c>
      <c r="M21" s="10">
        <v>53.415599999999998</v>
      </c>
      <c r="N21" s="10">
        <v>4.1395999999999997</v>
      </c>
      <c r="O21" s="10">
        <v>26.595500000000001</v>
      </c>
      <c r="P21" s="2" t="s">
        <v>60</v>
      </c>
      <c r="Q21" s="20">
        <v>0</v>
      </c>
      <c r="AB21" s="6" t="str">
        <f>'LOCUS PH-G'!$C$4</f>
        <v>LINE 7</v>
      </c>
      <c r="AC21" s="6" t="b">
        <f t="shared" si="0"/>
        <v>0</v>
      </c>
    </row>
    <row r="22" spans="1:29">
      <c r="A22" s="6">
        <v>21</v>
      </c>
      <c r="B22" s="6" t="s">
        <v>94</v>
      </c>
      <c r="C22" s="9">
        <v>4.72</v>
      </c>
      <c r="D22" s="13">
        <v>8.3000000000000007</v>
      </c>
      <c r="E22" s="10">
        <v>11.78</v>
      </c>
      <c r="F22" s="10">
        <v>11.11</v>
      </c>
      <c r="G22" s="10">
        <v>19.52</v>
      </c>
      <c r="H22" s="10">
        <v>27.71</v>
      </c>
      <c r="I22" s="10">
        <v>4.72</v>
      </c>
      <c r="J22" s="13">
        <v>8.3000000000000007</v>
      </c>
      <c r="K22" s="10">
        <v>11.78</v>
      </c>
      <c r="L22" s="12">
        <v>36.950000000000003</v>
      </c>
      <c r="M22" s="10">
        <v>73</v>
      </c>
      <c r="N22" s="10">
        <v>3.032</v>
      </c>
      <c r="O22" s="10">
        <v>-1.8140000000000001</v>
      </c>
      <c r="P22" s="2" t="s">
        <v>60</v>
      </c>
      <c r="Q22" s="20">
        <v>0</v>
      </c>
      <c r="AB22" s="6" t="str">
        <f>'LOCUS PH-G'!$C$4</f>
        <v>LINE 7</v>
      </c>
      <c r="AC22" s="6" t="b">
        <f t="shared" si="0"/>
        <v>0</v>
      </c>
    </row>
    <row r="23" spans="1:29">
      <c r="A23" s="6">
        <v>22</v>
      </c>
      <c r="B23" s="6" t="s">
        <v>95</v>
      </c>
      <c r="C23" s="9">
        <v>4.72</v>
      </c>
      <c r="D23" s="13">
        <v>8.3000000000000007</v>
      </c>
      <c r="E23" s="10">
        <v>11.78</v>
      </c>
      <c r="F23" s="10">
        <v>11.11</v>
      </c>
      <c r="G23" s="10">
        <v>19.52</v>
      </c>
      <c r="H23" s="10">
        <v>27.71</v>
      </c>
      <c r="I23" s="10">
        <v>4.72</v>
      </c>
      <c r="J23" s="13">
        <v>8.3000000000000007</v>
      </c>
      <c r="K23" s="10">
        <v>11.78</v>
      </c>
      <c r="L23" s="12">
        <v>36.950000000000003</v>
      </c>
      <c r="M23" s="10">
        <v>73</v>
      </c>
      <c r="N23" s="10">
        <v>3.032</v>
      </c>
      <c r="O23" s="10">
        <v>-1.8140000000000001</v>
      </c>
      <c r="P23" s="2" t="s">
        <v>60</v>
      </c>
      <c r="Q23" s="20">
        <v>0</v>
      </c>
      <c r="AB23" s="6" t="str">
        <f>'LOCUS PH-G'!$C$4</f>
        <v>LINE 7</v>
      </c>
      <c r="AC23" s="6" t="b">
        <f t="shared" si="0"/>
        <v>0</v>
      </c>
    </row>
    <row r="24" spans="1:29">
      <c r="A24" s="6">
        <v>23</v>
      </c>
      <c r="B24" s="6" t="s">
        <v>96</v>
      </c>
      <c r="C24" s="9">
        <v>0.65400000000000003</v>
      </c>
      <c r="D24" s="10">
        <v>1.772</v>
      </c>
      <c r="E24" s="10">
        <v>3.5419999999999998</v>
      </c>
      <c r="F24" s="10">
        <v>1.0960000000000001</v>
      </c>
      <c r="G24" s="10">
        <v>2.9710000000000001</v>
      </c>
      <c r="H24" s="10">
        <v>5.9379999999999997</v>
      </c>
      <c r="I24" s="10">
        <v>0.65400000000000003</v>
      </c>
      <c r="J24" s="10">
        <v>1.772</v>
      </c>
      <c r="K24" s="10">
        <v>3.5419999999999998</v>
      </c>
      <c r="L24" s="10">
        <v>7.9180000000000001</v>
      </c>
      <c r="M24" s="10">
        <v>53.415999999999997</v>
      </c>
      <c r="N24" s="12">
        <v>4.1399999999999997</v>
      </c>
      <c r="O24" s="10">
        <v>26.596</v>
      </c>
      <c r="P24" s="2" t="s">
        <v>59</v>
      </c>
      <c r="Q24" s="20">
        <v>0</v>
      </c>
      <c r="AB24" s="6" t="str">
        <f>'LOCUS PH-G'!$C$4</f>
        <v>LINE 7</v>
      </c>
      <c r="AC24" s="6" t="b">
        <f t="shared" si="0"/>
        <v>0</v>
      </c>
    </row>
    <row r="25" spans="1:29">
      <c r="A25" s="6">
        <v>24</v>
      </c>
      <c r="B25" s="6" t="s">
        <v>97</v>
      </c>
      <c r="C25" s="9">
        <v>1.2210000000000001</v>
      </c>
      <c r="D25" s="10">
        <v>3.3079999999999998</v>
      </c>
      <c r="E25" s="10">
        <v>6.6120000000000001</v>
      </c>
      <c r="F25" s="10">
        <v>2.0470000000000002</v>
      </c>
      <c r="G25" s="10">
        <v>5.5449999999999999</v>
      </c>
      <c r="H25" s="10">
        <v>11.085000000000001</v>
      </c>
      <c r="I25" s="10">
        <v>1.2210000000000001</v>
      </c>
      <c r="J25" s="10">
        <v>3.3079999999999998</v>
      </c>
      <c r="K25" s="10">
        <v>6.6120000000000001</v>
      </c>
      <c r="L25" s="10">
        <v>14.78</v>
      </c>
      <c r="M25" s="10">
        <v>53.415999999999997</v>
      </c>
      <c r="N25" s="12">
        <v>4.1399999999999997</v>
      </c>
      <c r="O25" s="10">
        <v>26.596</v>
      </c>
      <c r="P25" s="2" t="s">
        <v>59</v>
      </c>
      <c r="Q25" s="20">
        <v>0</v>
      </c>
      <c r="AB25" s="6" t="str">
        <f>'LOCUS PH-G'!$C$4</f>
        <v>LINE 7</v>
      </c>
      <c r="AC25" s="6" t="b">
        <f t="shared" si="0"/>
        <v>0</v>
      </c>
    </row>
    <row r="26" spans="1:29">
      <c r="A26" s="6">
        <v>25</v>
      </c>
      <c r="B26" s="6" t="s">
        <v>98</v>
      </c>
      <c r="C26" s="9">
        <v>1.6879999999999999</v>
      </c>
      <c r="D26" s="10">
        <v>2.218</v>
      </c>
      <c r="E26" s="10">
        <v>3.3769999999999998</v>
      </c>
      <c r="F26" s="10">
        <v>2.7709999999999999</v>
      </c>
      <c r="G26" s="10">
        <v>3.641</v>
      </c>
      <c r="H26" s="10">
        <v>5.5430000000000001</v>
      </c>
      <c r="I26" s="10">
        <v>1.6879999999999999</v>
      </c>
      <c r="J26" s="10">
        <v>2.218</v>
      </c>
      <c r="K26" s="10">
        <v>3.3769999999999998</v>
      </c>
      <c r="L26" s="12">
        <v>7.39</v>
      </c>
      <c r="M26" s="10">
        <v>53.415599999999998</v>
      </c>
      <c r="N26" s="10">
        <v>4.1395999999999997</v>
      </c>
      <c r="O26" s="10">
        <v>26.595500000000001</v>
      </c>
      <c r="P26" s="2" t="s">
        <v>59</v>
      </c>
      <c r="Q26" s="20">
        <v>0</v>
      </c>
      <c r="AB26" s="6" t="str">
        <f>'LOCUS PH-G'!$C$4</f>
        <v>LINE 7</v>
      </c>
      <c r="AC26" s="6" t="b">
        <f t="shared" si="0"/>
        <v>0</v>
      </c>
    </row>
    <row r="27" spans="1:29">
      <c r="A27" s="6">
        <v>26</v>
      </c>
      <c r="B27" s="6" t="s">
        <v>99</v>
      </c>
      <c r="C27" s="9">
        <v>1.6879999999999999</v>
      </c>
      <c r="D27" s="10">
        <v>2.218</v>
      </c>
      <c r="E27" s="10">
        <v>3.3769999999999998</v>
      </c>
      <c r="F27" s="10">
        <v>2.7709999999999999</v>
      </c>
      <c r="G27" s="10">
        <v>3.641</v>
      </c>
      <c r="H27" s="10">
        <v>5.5430000000000001</v>
      </c>
      <c r="I27" s="10">
        <v>1.6879999999999999</v>
      </c>
      <c r="J27" s="10">
        <v>2.218</v>
      </c>
      <c r="K27" s="10">
        <v>3.3769999999999998</v>
      </c>
      <c r="L27" s="12">
        <v>7.39</v>
      </c>
      <c r="M27" s="10">
        <v>53.415599999999998</v>
      </c>
      <c r="N27" s="10">
        <v>4.1395999999999997</v>
      </c>
      <c r="O27" s="10">
        <v>26.595500000000001</v>
      </c>
      <c r="P27" s="2" t="s">
        <v>59</v>
      </c>
      <c r="Q27" s="20">
        <v>0</v>
      </c>
      <c r="AB27" s="6" t="str">
        <f>'LOCUS PH-G'!$C$4</f>
        <v>LINE 7</v>
      </c>
      <c r="AC27" s="6" t="b">
        <f t="shared" si="0"/>
        <v>0</v>
      </c>
    </row>
    <row r="28" spans="1:29">
      <c r="A28" s="6">
        <v>27</v>
      </c>
      <c r="B28" s="6" t="s">
        <v>100</v>
      </c>
      <c r="C28" s="14">
        <v>0.36</v>
      </c>
      <c r="D28" s="10">
        <v>0.66300000000000003</v>
      </c>
      <c r="E28" s="10">
        <v>1.181</v>
      </c>
      <c r="F28" s="10">
        <v>1.6879999999999999</v>
      </c>
      <c r="G28" s="10">
        <v>3.1139999999999999</v>
      </c>
      <c r="H28" s="10">
        <v>5.5430000000000001</v>
      </c>
      <c r="I28" s="12">
        <v>0.36</v>
      </c>
      <c r="J28" s="10">
        <v>0.66300000000000003</v>
      </c>
      <c r="K28" s="10">
        <v>1.181</v>
      </c>
      <c r="L28" s="10">
        <v>76.141999999999996</v>
      </c>
      <c r="M28" s="10">
        <v>78.051400000000001</v>
      </c>
      <c r="N28" s="10">
        <v>3.0802</v>
      </c>
      <c r="O28" s="10">
        <v>-1.9092</v>
      </c>
      <c r="P28" s="2" t="s">
        <v>60</v>
      </c>
      <c r="Q28" s="20">
        <v>0</v>
      </c>
      <c r="AB28" s="6" t="str">
        <f>'LOCUS PH-G'!$C$4</f>
        <v>LINE 7</v>
      </c>
      <c r="AC28" s="6" t="b">
        <f t="shared" si="0"/>
        <v>0</v>
      </c>
    </row>
    <row r="29" spans="1:29">
      <c r="A29" s="6">
        <v>28</v>
      </c>
      <c r="B29" s="6" t="s">
        <v>101</v>
      </c>
      <c r="C29" s="14">
        <v>0.36</v>
      </c>
      <c r="D29" s="10">
        <v>0.66300000000000003</v>
      </c>
      <c r="E29" s="10">
        <v>1.181</v>
      </c>
      <c r="F29" s="10">
        <v>1.6879999999999999</v>
      </c>
      <c r="G29" s="10">
        <v>3.1139999999999999</v>
      </c>
      <c r="H29" s="10">
        <v>5.5430000000000001</v>
      </c>
      <c r="I29" s="12">
        <v>0.36</v>
      </c>
      <c r="J29" s="10">
        <v>0.66300000000000003</v>
      </c>
      <c r="K29" s="10">
        <v>1.181</v>
      </c>
      <c r="L29" s="10">
        <v>76.141999999999996</v>
      </c>
      <c r="M29" s="10">
        <v>78.051400000000001</v>
      </c>
      <c r="N29" s="10">
        <v>3.0802</v>
      </c>
      <c r="O29" s="10">
        <v>-1.9092</v>
      </c>
      <c r="P29" s="2" t="s">
        <v>60</v>
      </c>
      <c r="Q29" s="20">
        <v>0</v>
      </c>
      <c r="AB29" s="6" t="str">
        <f>'LOCUS PH-G'!$C$4</f>
        <v>LINE 7</v>
      </c>
      <c r="AC29" s="6" t="b">
        <f t="shared" si="0"/>
        <v>0</v>
      </c>
    </row>
    <row r="30" spans="1:29">
      <c r="A30" s="6">
        <v>29</v>
      </c>
      <c r="B30" s="6" t="s">
        <v>102</v>
      </c>
      <c r="C30" s="14">
        <v>0.72</v>
      </c>
      <c r="D30" s="10">
        <v>2.5110000000000001</v>
      </c>
      <c r="E30" s="10">
        <v>5.9130000000000003</v>
      </c>
      <c r="F30" s="10">
        <v>3.3719999999999999</v>
      </c>
      <c r="G30" s="10">
        <v>11.766999999999999</v>
      </c>
      <c r="H30" s="10">
        <v>27.713000000000001</v>
      </c>
      <c r="I30" s="12">
        <v>0.72</v>
      </c>
      <c r="J30" s="10">
        <v>2.5110000000000001</v>
      </c>
      <c r="K30" s="10">
        <v>5.9130000000000003</v>
      </c>
      <c r="L30" s="12">
        <v>36.950000000000003</v>
      </c>
      <c r="M30" s="10">
        <v>53.415599999999998</v>
      </c>
      <c r="N30" s="10">
        <v>4.1395999999999997</v>
      </c>
      <c r="O30" s="10">
        <v>26.595500000000001</v>
      </c>
      <c r="P30" s="2" t="s">
        <v>60</v>
      </c>
      <c r="Q30" s="20">
        <v>0</v>
      </c>
      <c r="AB30" s="6" t="str">
        <f>'LOCUS PH-G'!$C$4</f>
        <v>LINE 7</v>
      </c>
      <c r="AC30" s="6" t="b">
        <f t="shared" si="0"/>
        <v>0</v>
      </c>
    </row>
    <row r="31" spans="1:29">
      <c r="A31" s="6">
        <v>30</v>
      </c>
      <c r="B31" s="6" t="s">
        <v>103</v>
      </c>
      <c r="C31" s="14">
        <v>0.72</v>
      </c>
      <c r="D31" s="10">
        <v>2.5110000000000001</v>
      </c>
      <c r="E31" s="10">
        <v>5.9130000000000003</v>
      </c>
      <c r="F31" s="10">
        <v>3.3719999999999999</v>
      </c>
      <c r="G31" s="10">
        <v>11.766999999999999</v>
      </c>
      <c r="H31" s="10">
        <v>27.713000000000001</v>
      </c>
      <c r="I31" s="12">
        <v>0.72</v>
      </c>
      <c r="J31" s="10">
        <v>2.5110000000000001</v>
      </c>
      <c r="K31" s="10">
        <v>5.9130000000000003</v>
      </c>
      <c r="L31" s="12">
        <v>36.950000000000003</v>
      </c>
      <c r="M31" s="10">
        <v>53.415599999999998</v>
      </c>
      <c r="N31" s="10">
        <v>4.1395999999999997</v>
      </c>
      <c r="O31" s="10">
        <v>26.595500000000001</v>
      </c>
      <c r="P31" s="2" t="s">
        <v>60</v>
      </c>
      <c r="Q31" s="20">
        <v>0</v>
      </c>
      <c r="AB31" s="6" t="str">
        <f>'LOCUS PH-G'!$C$4</f>
        <v>LINE 7</v>
      </c>
      <c r="AC31" s="6" t="b">
        <f t="shared" si="0"/>
        <v>0</v>
      </c>
    </row>
    <row r="32" spans="1:29">
      <c r="A32" s="6">
        <v>31</v>
      </c>
      <c r="B32" s="6" t="s">
        <v>104</v>
      </c>
      <c r="C32" s="9">
        <v>3.5209999999999999</v>
      </c>
      <c r="D32" s="10">
        <v>6.1619999999999999</v>
      </c>
      <c r="E32" s="10">
        <v>8.1739999999999995</v>
      </c>
      <c r="F32" s="10">
        <v>1.0680000000000001</v>
      </c>
      <c r="G32" s="10">
        <v>1.8680000000000001</v>
      </c>
      <c r="H32" s="10">
        <v>2.6429999999999998</v>
      </c>
      <c r="I32" s="10">
        <v>18.170999999999999</v>
      </c>
      <c r="J32" s="10">
        <v>31.798999999999999</v>
      </c>
      <c r="K32" s="10">
        <v>44.972999999999999</v>
      </c>
      <c r="L32" s="10">
        <v>85.930999999999997</v>
      </c>
      <c r="M32" s="18">
        <v>73.130300000000005</v>
      </c>
      <c r="N32" s="10">
        <v>5.1351000000000004</v>
      </c>
      <c r="O32" s="10">
        <v>0.97470000000000001</v>
      </c>
      <c r="P32" s="2" t="s">
        <v>60</v>
      </c>
      <c r="Q32" s="20">
        <v>0</v>
      </c>
      <c r="AB32" s="6" t="str">
        <f>'LOCUS PH-G'!$C$4</f>
        <v>LINE 7</v>
      </c>
      <c r="AC32" s="6" t="b">
        <f t="shared" si="0"/>
        <v>0</v>
      </c>
    </row>
    <row r="33" spans="1:29">
      <c r="A33" s="6">
        <v>32</v>
      </c>
      <c r="B33" s="6" t="s">
        <v>105</v>
      </c>
      <c r="C33" s="9">
        <v>3.5209999999999999</v>
      </c>
      <c r="D33" s="10">
        <v>6.1619999999999999</v>
      </c>
      <c r="E33" s="10">
        <v>8.1739999999999995</v>
      </c>
      <c r="F33" s="10">
        <v>1.0680000000000001</v>
      </c>
      <c r="G33" s="10">
        <v>1.8680000000000001</v>
      </c>
      <c r="H33" s="10">
        <v>2.6429999999999998</v>
      </c>
      <c r="I33" s="10">
        <v>18.170999999999999</v>
      </c>
      <c r="J33" s="10">
        <v>31.798999999999999</v>
      </c>
      <c r="K33" s="10">
        <v>44.972999999999999</v>
      </c>
      <c r="L33" s="10">
        <v>85.930999999999997</v>
      </c>
      <c r="M33" s="18">
        <v>73.130300000000005</v>
      </c>
      <c r="N33" s="10">
        <v>5.1351000000000004</v>
      </c>
      <c r="O33" s="10">
        <v>0.97470000000000001</v>
      </c>
      <c r="P33" s="2" t="s">
        <v>60</v>
      </c>
      <c r="Q33" s="20">
        <v>0</v>
      </c>
      <c r="AB33" s="6" t="str">
        <f>'LOCUS PH-G'!$C$4</f>
        <v>LINE 7</v>
      </c>
      <c r="AC33" s="6" t="b">
        <f t="shared" si="0"/>
        <v>0</v>
      </c>
    </row>
    <row r="34" spans="1:29">
      <c r="A34" s="6">
        <v>33</v>
      </c>
      <c r="B34" s="6" t="s">
        <v>106</v>
      </c>
      <c r="C34" s="9">
        <v>3.52</v>
      </c>
      <c r="D34" s="10">
        <v>5.08</v>
      </c>
      <c r="E34" s="13">
        <v>7.3</v>
      </c>
      <c r="F34" s="10">
        <v>1.07</v>
      </c>
      <c r="G34" s="10">
        <v>1.54</v>
      </c>
      <c r="H34" s="10">
        <v>2.2200000000000002</v>
      </c>
      <c r="I34" s="10">
        <v>18.170000000000002</v>
      </c>
      <c r="J34" s="10">
        <v>26.19</v>
      </c>
      <c r="K34" s="13">
        <v>37.700000000000003</v>
      </c>
      <c r="L34" s="10">
        <v>85.93</v>
      </c>
      <c r="M34" s="12">
        <v>73.13</v>
      </c>
      <c r="N34" s="10">
        <v>5.1349999999999998</v>
      </c>
      <c r="O34" s="10">
        <v>0.97499999999999998</v>
      </c>
      <c r="P34" s="2" t="s">
        <v>60</v>
      </c>
      <c r="Q34" s="20">
        <v>0</v>
      </c>
      <c r="AB34" s="6" t="str">
        <f>'LOCUS PH-G'!$C$4</f>
        <v>LINE 7</v>
      </c>
      <c r="AC34" s="6" t="b">
        <f t="shared" si="0"/>
        <v>0</v>
      </c>
    </row>
    <row r="35" spans="1:29">
      <c r="A35" s="6">
        <v>34</v>
      </c>
      <c r="B35" s="6" t="s">
        <v>107</v>
      </c>
      <c r="C35" s="9">
        <v>3.52</v>
      </c>
      <c r="D35" s="10">
        <v>5.08</v>
      </c>
      <c r="E35" s="13">
        <v>7.3</v>
      </c>
      <c r="F35" s="10">
        <v>1.07</v>
      </c>
      <c r="G35" s="10">
        <v>1.54</v>
      </c>
      <c r="H35" s="10">
        <v>2.2200000000000002</v>
      </c>
      <c r="I35" s="10">
        <v>18.170000000000002</v>
      </c>
      <c r="J35" s="10">
        <v>26.19</v>
      </c>
      <c r="K35" s="13">
        <v>37.700000000000003</v>
      </c>
      <c r="L35" s="10">
        <v>85.93</v>
      </c>
      <c r="M35" s="12">
        <v>73.13</v>
      </c>
      <c r="N35" s="10">
        <v>5.1349999999999998</v>
      </c>
      <c r="O35" s="10">
        <v>0.97499999999999998</v>
      </c>
      <c r="P35" s="2" t="s">
        <v>60</v>
      </c>
      <c r="Q35" s="20">
        <v>0</v>
      </c>
      <c r="AB35" s="6" t="str">
        <f>'LOCUS PH-G'!$C$4</f>
        <v>LINE 7</v>
      </c>
      <c r="AC35" s="6" t="b">
        <f t="shared" ref="AC35:AC66" si="1">IF(AB35=B35,A35)</f>
        <v>0</v>
      </c>
    </row>
    <row r="36" spans="1:29">
      <c r="A36" s="6">
        <v>35</v>
      </c>
      <c r="B36" s="6" t="s">
        <v>108</v>
      </c>
      <c r="C36" s="9">
        <v>0.83699999999999997</v>
      </c>
      <c r="D36" s="10">
        <v>1.256</v>
      </c>
      <c r="E36" s="10">
        <v>1.675</v>
      </c>
      <c r="F36" s="10">
        <v>2.7709999999999999</v>
      </c>
      <c r="G36" s="10">
        <v>4.157</v>
      </c>
      <c r="H36" s="10">
        <v>5.5430000000000001</v>
      </c>
      <c r="I36" s="10">
        <v>0.83699999999999997</v>
      </c>
      <c r="J36" s="10">
        <v>1.256</v>
      </c>
      <c r="K36" s="10">
        <v>1.675</v>
      </c>
      <c r="L36" s="12">
        <v>7.39</v>
      </c>
      <c r="M36" s="10">
        <v>58.451000000000001</v>
      </c>
      <c r="N36" s="10">
        <v>4.9829999999999997</v>
      </c>
      <c r="O36" s="12">
        <v>12.97</v>
      </c>
      <c r="P36" s="2" t="s">
        <v>59</v>
      </c>
      <c r="Q36" s="20">
        <v>0</v>
      </c>
      <c r="AB36" s="6" t="str">
        <f>'LOCUS PH-G'!$C$4</f>
        <v>LINE 7</v>
      </c>
      <c r="AC36" s="6" t="b">
        <f t="shared" si="1"/>
        <v>0</v>
      </c>
    </row>
    <row r="37" spans="1:29">
      <c r="A37" s="6">
        <v>36</v>
      </c>
      <c r="B37" s="6" t="s">
        <v>109</v>
      </c>
      <c r="C37" s="9">
        <v>0.83699999999999997</v>
      </c>
      <c r="D37" s="10">
        <v>1.256</v>
      </c>
      <c r="E37" s="10">
        <v>1.675</v>
      </c>
      <c r="F37" s="10">
        <v>2.7709999999999999</v>
      </c>
      <c r="G37" s="10">
        <v>4.157</v>
      </c>
      <c r="H37" s="10">
        <v>5.5430000000000001</v>
      </c>
      <c r="I37" s="10">
        <v>0.83699999999999997</v>
      </c>
      <c r="J37" s="10">
        <v>1.256</v>
      </c>
      <c r="K37" s="10">
        <v>1.675</v>
      </c>
      <c r="L37" s="12">
        <v>7.39</v>
      </c>
      <c r="M37" s="10">
        <v>58.451000000000001</v>
      </c>
      <c r="N37" s="10">
        <v>4.9829999999999997</v>
      </c>
      <c r="O37" s="12">
        <v>12.97</v>
      </c>
      <c r="P37" s="2" t="s">
        <v>59</v>
      </c>
      <c r="Q37" s="20">
        <v>0</v>
      </c>
      <c r="AB37" s="6" t="str">
        <f>'LOCUS PH-G'!$C$4</f>
        <v>LINE 7</v>
      </c>
      <c r="AC37" s="6" t="b">
        <f t="shared" si="1"/>
        <v>0</v>
      </c>
    </row>
    <row r="38" spans="1:29">
      <c r="A38" s="15">
        <v>37</v>
      </c>
      <c r="B38" s="15" t="s">
        <v>110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20"/>
      <c r="AB38" s="6" t="str">
        <f>'LOCUS PH-G'!$C$4</f>
        <v>LINE 7</v>
      </c>
      <c r="AC38" s="6" t="b">
        <f t="shared" si="1"/>
        <v>0</v>
      </c>
    </row>
    <row r="39" spans="1:29">
      <c r="A39" s="15">
        <v>38</v>
      </c>
      <c r="B39" s="15" t="s">
        <v>111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20"/>
      <c r="AB39" s="6" t="str">
        <f>'LOCUS PH-G'!$C$4</f>
        <v>LINE 7</v>
      </c>
      <c r="AC39" s="6" t="b">
        <f t="shared" si="1"/>
        <v>0</v>
      </c>
    </row>
    <row r="40" spans="1:29">
      <c r="A40" s="15">
        <v>39</v>
      </c>
      <c r="B40" s="15" t="s">
        <v>112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20"/>
      <c r="AB40" s="6" t="str">
        <f>'LOCUS PH-G'!$C$4</f>
        <v>LINE 7</v>
      </c>
      <c r="AC40" s="6" t="b">
        <f t="shared" si="1"/>
        <v>0</v>
      </c>
    </row>
    <row r="41" spans="1:29">
      <c r="A41" s="15">
        <v>40</v>
      </c>
      <c r="B41" s="15" t="s">
        <v>113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20"/>
      <c r="AB41" s="6" t="str">
        <f>'LOCUS PH-G'!$C$4</f>
        <v>LINE 7</v>
      </c>
      <c r="AC41" s="6" t="b">
        <f t="shared" si="1"/>
        <v>0</v>
      </c>
    </row>
    <row r="42" spans="1:29">
      <c r="A42" s="15">
        <v>41</v>
      </c>
      <c r="B42" s="15" t="s">
        <v>114</v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20"/>
      <c r="AB42" s="6" t="str">
        <f>'LOCUS PH-G'!$C$4</f>
        <v>LINE 7</v>
      </c>
      <c r="AC42" s="6" t="b">
        <f t="shared" si="1"/>
        <v>0</v>
      </c>
    </row>
    <row r="43" spans="1:29">
      <c r="A43" s="15">
        <v>42</v>
      </c>
      <c r="B43" s="15" t="s">
        <v>115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20"/>
      <c r="AB43" s="6" t="str">
        <f>'LOCUS PH-G'!$C$4</f>
        <v>LINE 7</v>
      </c>
      <c r="AC43" s="6" t="b">
        <f t="shared" si="1"/>
        <v>0</v>
      </c>
    </row>
    <row r="44" spans="1:29">
      <c r="A44" s="6">
        <v>43</v>
      </c>
      <c r="B44" s="6" t="s">
        <v>116</v>
      </c>
      <c r="C44" s="2">
        <v>0.38800000000000001</v>
      </c>
      <c r="D44" s="2">
        <v>1.163</v>
      </c>
      <c r="E44" s="2">
        <v>2.6160000000000001</v>
      </c>
      <c r="F44" s="2">
        <v>0.82299999999999995</v>
      </c>
      <c r="G44" s="2">
        <v>2.4649999999999999</v>
      </c>
      <c r="H44" s="2">
        <v>5.5430000000000001</v>
      </c>
      <c r="I44" s="2">
        <v>0.38800000000000001</v>
      </c>
      <c r="J44" s="2">
        <v>1.163</v>
      </c>
      <c r="K44" s="2">
        <v>2.6160000000000001</v>
      </c>
      <c r="L44" s="2">
        <v>7.39</v>
      </c>
      <c r="M44" s="2">
        <v>78.051400000000001</v>
      </c>
      <c r="N44" s="19">
        <v>3.08026</v>
      </c>
      <c r="O44" s="2">
        <v>-1.90923</v>
      </c>
      <c r="P44" s="2" t="s">
        <v>59</v>
      </c>
      <c r="Q44" s="20">
        <v>0</v>
      </c>
      <c r="AB44" s="6" t="str">
        <f>'LOCUS PH-G'!$C$4</f>
        <v>LINE 7</v>
      </c>
      <c r="AC44" s="6" t="b">
        <f t="shared" si="1"/>
        <v>0</v>
      </c>
    </row>
    <row r="45" spans="1:29">
      <c r="A45" s="6">
        <v>44</v>
      </c>
      <c r="B45" s="6" t="s">
        <v>117</v>
      </c>
      <c r="C45" s="2">
        <v>0.38800000000000001</v>
      </c>
      <c r="D45" s="2">
        <v>1.163</v>
      </c>
      <c r="E45" s="2">
        <v>2.6160000000000001</v>
      </c>
      <c r="F45" s="2">
        <v>0.82299999999999995</v>
      </c>
      <c r="G45" s="2">
        <v>2.4649999999999999</v>
      </c>
      <c r="H45" s="2">
        <v>5.5430000000000001</v>
      </c>
      <c r="I45" s="2">
        <v>0.38800000000000001</v>
      </c>
      <c r="J45" s="2">
        <v>1.163</v>
      </c>
      <c r="K45" s="2">
        <v>2.6160000000000001</v>
      </c>
      <c r="L45" s="2">
        <v>7.39</v>
      </c>
      <c r="M45" s="2">
        <v>78.051400000000001</v>
      </c>
      <c r="N45" s="19">
        <v>3.08026</v>
      </c>
      <c r="O45" s="2">
        <v>-1.90923</v>
      </c>
      <c r="P45" s="2" t="s">
        <v>59</v>
      </c>
      <c r="Q45" s="20">
        <v>0</v>
      </c>
      <c r="AB45" s="6" t="str">
        <f>'LOCUS PH-G'!$C$4</f>
        <v>LINE 7</v>
      </c>
      <c r="AC45" s="6" t="b">
        <f t="shared" si="1"/>
        <v>0</v>
      </c>
    </row>
    <row r="46" spans="1:29">
      <c r="A46" s="6">
        <v>45</v>
      </c>
      <c r="B46" s="6" t="s">
        <v>118</v>
      </c>
      <c r="C46" s="2">
        <v>0.64100000000000001</v>
      </c>
      <c r="D46" s="2">
        <v>1.071</v>
      </c>
      <c r="E46" s="2">
        <v>1.7709999999999999</v>
      </c>
      <c r="F46" s="2">
        <v>2.0070000000000001</v>
      </c>
      <c r="G46" s="2">
        <v>3.3530000000000002</v>
      </c>
      <c r="H46" s="2">
        <v>5.5430000000000001</v>
      </c>
      <c r="I46" s="2">
        <v>0.64100000000000001</v>
      </c>
      <c r="J46" s="2">
        <v>1.071</v>
      </c>
      <c r="K46" s="2">
        <v>1.7709999999999999</v>
      </c>
      <c r="L46" s="2">
        <v>7.39</v>
      </c>
      <c r="M46" s="2">
        <v>78.051400000000001</v>
      </c>
      <c r="N46" s="19">
        <v>3.08026</v>
      </c>
      <c r="O46" s="2">
        <v>-1.90923</v>
      </c>
      <c r="P46" s="2" t="s">
        <v>59</v>
      </c>
      <c r="Q46" s="20">
        <v>1</v>
      </c>
      <c r="AB46" s="6" t="str">
        <f>'LOCUS PH-G'!$C$4</f>
        <v>LINE 7</v>
      </c>
      <c r="AC46" s="6" t="b">
        <f t="shared" si="1"/>
        <v>0</v>
      </c>
    </row>
    <row r="47" spans="1:29">
      <c r="A47" s="6">
        <v>46</v>
      </c>
      <c r="B47" s="6" t="s">
        <v>119</v>
      </c>
      <c r="C47" s="2">
        <v>0.64100000000000001</v>
      </c>
      <c r="D47" s="2">
        <v>1.071</v>
      </c>
      <c r="E47" s="2">
        <v>1.7709999999999999</v>
      </c>
      <c r="F47" s="2">
        <v>2.0070000000000001</v>
      </c>
      <c r="G47" s="2">
        <v>3.3530000000000002</v>
      </c>
      <c r="H47" s="2">
        <v>5.5430000000000001</v>
      </c>
      <c r="I47" s="2">
        <v>0.64100000000000001</v>
      </c>
      <c r="J47" s="2">
        <v>1.071</v>
      </c>
      <c r="K47" s="2">
        <v>1.7709999999999999</v>
      </c>
      <c r="L47" s="2">
        <v>7.39</v>
      </c>
      <c r="M47" s="2">
        <v>78.051400000000001</v>
      </c>
      <c r="N47" s="19">
        <v>3.08026</v>
      </c>
      <c r="O47" s="2">
        <v>-1.90923</v>
      </c>
      <c r="P47" s="2" t="s">
        <v>59</v>
      </c>
      <c r="Q47" s="20">
        <v>1</v>
      </c>
      <c r="AB47" s="6" t="str">
        <f>'LOCUS PH-G'!$C$4</f>
        <v>LINE 7</v>
      </c>
      <c r="AC47" s="6" t="b">
        <f t="shared" si="1"/>
        <v>0</v>
      </c>
    </row>
    <row r="48" spans="1:29">
      <c r="A48" s="6">
        <v>47</v>
      </c>
      <c r="B48" s="6" t="s">
        <v>120</v>
      </c>
      <c r="C48" s="2">
        <v>3.3889999999999998</v>
      </c>
      <c r="D48" s="2">
        <v>4.7220000000000004</v>
      </c>
      <c r="E48" s="2">
        <v>6.7779999999999996</v>
      </c>
      <c r="F48" s="2">
        <v>13.856</v>
      </c>
      <c r="G48" s="2">
        <v>19.306000000000001</v>
      </c>
      <c r="H48" s="2">
        <v>27.713000000000001</v>
      </c>
      <c r="I48" s="2">
        <v>3.3889999999999998</v>
      </c>
      <c r="J48" s="2">
        <v>4.7220000000000004</v>
      </c>
      <c r="K48" s="2">
        <v>6.7779999999999996</v>
      </c>
      <c r="L48" s="2">
        <v>36.950000000000003</v>
      </c>
      <c r="M48" s="2">
        <v>81.712999999999994</v>
      </c>
      <c r="N48" s="2">
        <v>2.169</v>
      </c>
      <c r="O48" s="2">
        <v>-4.0279999999999996</v>
      </c>
      <c r="P48" s="2" t="s">
        <v>60</v>
      </c>
      <c r="Q48" s="20">
        <v>0</v>
      </c>
      <c r="AB48" s="6" t="str">
        <f>'LOCUS PH-G'!$C$4</f>
        <v>LINE 7</v>
      </c>
      <c r="AC48" s="6" t="b">
        <f t="shared" si="1"/>
        <v>0</v>
      </c>
    </row>
    <row r="49" spans="1:29">
      <c r="A49" s="6">
        <v>48</v>
      </c>
      <c r="B49" s="6" t="s">
        <v>121</v>
      </c>
      <c r="C49" s="2">
        <v>4.92</v>
      </c>
      <c r="D49" s="2">
        <v>11.675000000000001</v>
      </c>
      <c r="E49" s="2">
        <v>20.452999999999999</v>
      </c>
      <c r="F49" s="2">
        <v>6.6660000000000004</v>
      </c>
      <c r="G49" s="2">
        <v>15.819000000000001</v>
      </c>
      <c r="H49" s="2">
        <v>27.713000000000001</v>
      </c>
      <c r="I49" s="2">
        <v>4.92</v>
      </c>
      <c r="J49" s="2">
        <v>11.675000000000001</v>
      </c>
      <c r="K49" s="2">
        <v>20.452999999999999</v>
      </c>
      <c r="L49" s="2">
        <v>36.950000000000003</v>
      </c>
      <c r="M49" s="2">
        <v>81.712999999999994</v>
      </c>
      <c r="N49" s="2">
        <v>2.169</v>
      </c>
      <c r="O49" s="2">
        <v>-4.0279999999999996</v>
      </c>
      <c r="P49" s="2" t="s">
        <v>60</v>
      </c>
      <c r="Q49" s="20">
        <v>0</v>
      </c>
      <c r="AB49" s="6" t="str">
        <f>'LOCUS PH-G'!$C$4</f>
        <v>LINE 7</v>
      </c>
      <c r="AC49" s="6" t="b">
        <f t="shared" si="1"/>
        <v>0</v>
      </c>
    </row>
    <row r="50" spans="1:29">
      <c r="A50" s="6">
        <v>49</v>
      </c>
      <c r="B50" s="6" t="s">
        <v>122</v>
      </c>
      <c r="C50" s="2">
        <v>8.8539999999999992</v>
      </c>
      <c r="D50" s="2">
        <v>15.494999999999999</v>
      </c>
      <c r="E50" s="2">
        <v>21.914000000000001</v>
      </c>
      <c r="F50" s="2">
        <v>20.832000000000001</v>
      </c>
      <c r="G50" s="2">
        <v>36.456000000000003</v>
      </c>
      <c r="H50" s="2">
        <v>51.558999999999997</v>
      </c>
      <c r="I50" s="2">
        <v>8.8539999999999992</v>
      </c>
      <c r="J50" s="2">
        <v>15.494999999999999</v>
      </c>
      <c r="K50" s="2">
        <v>21.914000000000001</v>
      </c>
      <c r="L50" s="2">
        <v>68.745000000000005</v>
      </c>
      <c r="M50" s="1">
        <v>73.13</v>
      </c>
      <c r="N50" s="2">
        <v>5.1349999999999998</v>
      </c>
      <c r="O50" s="2">
        <v>0.97499999999999998</v>
      </c>
      <c r="P50" s="2" t="s">
        <v>60</v>
      </c>
      <c r="Q50" s="20">
        <v>1</v>
      </c>
      <c r="AB50" s="6" t="str">
        <f>'LOCUS PH-G'!$C$4</f>
        <v>LINE 7</v>
      </c>
      <c r="AC50" s="6" t="b">
        <f t="shared" si="1"/>
        <v>0</v>
      </c>
    </row>
    <row r="51" spans="1:29">
      <c r="A51" s="6">
        <v>50</v>
      </c>
      <c r="B51" s="6" t="s">
        <v>123</v>
      </c>
      <c r="C51" s="2">
        <v>8.8539999999999992</v>
      </c>
      <c r="D51" s="2">
        <v>15.494999999999999</v>
      </c>
      <c r="E51" s="2">
        <v>21.914000000000001</v>
      </c>
      <c r="F51" s="2">
        <v>20.832000000000001</v>
      </c>
      <c r="G51" s="2">
        <v>36.456000000000003</v>
      </c>
      <c r="H51" s="2">
        <v>51.558999999999997</v>
      </c>
      <c r="I51" s="2">
        <v>8.8539999999999992</v>
      </c>
      <c r="J51" s="2">
        <v>15.494999999999999</v>
      </c>
      <c r="K51" s="2">
        <v>21.914000000000001</v>
      </c>
      <c r="L51" s="2">
        <v>68.745000000000005</v>
      </c>
      <c r="M51" s="1">
        <v>73.13</v>
      </c>
      <c r="N51" s="2">
        <v>5.1349999999999998</v>
      </c>
      <c r="O51" s="2">
        <v>0.97499999999999998</v>
      </c>
      <c r="P51" s="2" t="s">
        <v>60</v>
      </c>
      <c r="Q51" s="20">
        <v>1</v>
      </c>
      <c r="AB51" s="6" t="str">
        <f>'LOCUS PH-G'!$C$4</f>
        <v>LINE 7</v>
      </c>
      <c r="AC51" s="6" t="b">
        <f t="shared" si="1"/>
        <v>0</v>
      </c>
    </row>
    <row r="52" spans="1:29">
      <c r="A52" s="6">
        <v>51</v>
      </c>
      <c r="B52" s="58" t="s">
        <v>124</v>
      </c>
      <c r="C52" s="2">
        <v>21.688555347091931</v>
      </c>
      <c r="D52" s="2">
        <v>36.679174484052531</v>
      </c>
      <c r="E52" s="2">
        <v>50.243902439024389</v>
      </c>
      <c r="F52" s="2">
        <v>27.823639774859284</v>
      </c>
      <c r="G52" s="2">
        <v>47.073170731707314</v>
      </c>
      <c r="H52" s="2">
        <v>64.484052532833019</v>
      </c>
      <c r="I52" s="2">
        <v>21.688555347091931</v>
      </c>
      <c r="J52" s="2">
        <v>36.679174484052531</v>
      </c>
      <c r="K52" s="2">
        <v>50.243902439024389</v>
      </c>
      <c r="L52" s="2">
        <v>85.984990619136951</v>
      </c>
      <c r="M52" s="1">
        <v>73</v>
      </c>
      <c r="N52" s="2">
        <v>2.9409999999999998</v>
      </c>
      <c r="O52" s="2">
        <v>4.4260000000000002</v>
      </c>
      <c r="P52" s="2" t="s">
        <v>60</v>
      </c>
      <c r="Q52" s="20">
        <v>0</v>
      </c>
      <c r="AB52" s="6" t="str">
        <f>'LOCUS PH-G'!$C$4</f>
        <v>LINE 7</v>
      </c>
      <c r="AC52" s="6" t="b">
        <f t="shared" si="1"/>
        <v>0</v>
      </c>
    </row>
    <row r="53" spans="1:29">
      <c r="A53" s="6">
        <v>52</v>
      </c>
      <c r="B53" s="58" t="s">
        <v>125</v>
      </c>
      <c r="C53" s="2">
        <v>21.688555347091931</v>
      </c>
      <c r="D53" s="2">
        <v>36.679174484052531</v>
      </c>
      <c r="E53" s="2">
        <v>50.243902439024389</v>
      </c>
      <c r="F53" s="2">
        <v>27.823639774859284</v>
      </c>
      <c r="G53" s="2">
        <v>47.073170731707314</v>
      </c>
      <c r="H53" s="2">
        <v>64.484052532833019</v>
      </c>
      <c r="I53" s="2">
        <v>21.688555347091931</v>
      </c>
      <c r="J53" s="2">
        <v>36.679174484052531</v>
      </c>
      <c r="K53" s="2">
        <v>50.243902439024389</v>
      </c>
      <c r="L53" s="2">
        <v>85.984990619136951</v>
      </c>
      <c r="M53" s="1">
        <v>73</v>
      </c>
      <c r="N53" s="2">
        <v>2.9409999999999998</v>
      </c>
      <c r="O53" s="2">
        <v>4.4260000000000002</v>
      </c>
      <c r="P53" s="2" t="s">
        <v>60</v>
      </c>
      <c r="Q53" s="20">
        <v>0</v>
      </c>
      <c r="AB53" s="6" t="str">
        <f>'LOCUS PH-G'!$C$4</f>
        <v>LINE 7</v>
      </c>
      <c r="AC53" s="6" t="b">
        <f t="shared" si="1"/>
        <v>0</v>
      </c>
    </row>
    <row r="54" spans="1:29">
      <c r="A54" s="6">
        <v>53</v>
      </c>
      <c r="B54" s="6" t="s">
        <v>126</v>
      </c>
      <c r="C54" s="2">
        <v>4.8600000000000003</v>
      </c>
      <c r="D54" s="2">
        <v>7.45</v>
      </c>
      <c r="E54" s="2">
        <v>9.7200000000000006</v>
      </c>
      <c r="F54" s="2">
        <v>3.09</v>
      </c>
      <c r="G54" s="2">
        <v>4.7300000000000004</v>
      </c>
      <c r="H54" s="2">
        <v>6.17</v>
      </c>
      <c r="I54" s="2">
        <v>4.8600000000000003</v>
      </c>
      <c r="J54" s="2">
        <v>7.45</v>
      </c>
      <c r="K54" s="2">
        <v>9.7200000000000006</v>
      </c>
      <c r="L54" s="2">
        <v>8.2319999999999993</v>
      </c>
      <c r="M54" s="2">
        <v>81.712999999999994</v>
      </c>
      <c r="N54" s="2">
        <v>2.169</v>
      </c>
      <c r="O54" s="2">
        <v>-4.0279999999999996</v>
      </c>
      <c r="P54" s="2" t="s">
        <v>59</v>
      </c>
      <c r="Q54" s="20">
        <v>0</v>
      </c>
      <c r="AB54" s="6" t="str">
        <f>'LOCUS PH-G'!$C$4</f>
        <v>LINE 7</v>
      </c>
      <c r="AC54" s="6" t="b">
        <f t="shared" si="1"/>
        <v>0</v>
      </c>
    </row>
    <row r="55" spans="1:29">
      <c r="A55" s="6">
        <v>54</v>
      </c>
      <c r="B55" s="6" t="s">
        <v>127</v>
      </c>
      <c r="C55" s="2">
        <v>0.64700000000000002</v>
      </c>
      <c r="D55" s="2">
        <v>1.242</v>
      </c>
      <c r="E55" s="2">
        <v>2.1709999999999998</v>
      </c>
      <c r="F55" s="2">
        <v>2.5619999999999998</v>
      </c>
      <c r="G55" s="2">
        <v>5.3179999999999996</v>
      </c>
      <c r="H55" s="2">
        <v>8.593</v>
      </c>
      <c r="I55" s="2">
        <v>0.64700000000000002</v>
      </c>
      <c r="J55" s="2">
        <v>1.242</v>
      </c>
      <c r="K55" s="2">
        <v>2.1709999999999998</v>
      </c>
      <c r="L55" s="2">
        <v>11.457000000000001</v>
      </c>
      <c r="M55" s="2">
        <v>78.051400000000001</v>
      </c>
      <c r="N55" s="19">
        <v>3.08026</v>
      </c>
      <c r="O55" s="2">
        <v>-1.90923</v>
      </c>
      <c r="P55" s="2" t="s">
        <v>59</v>
      </c>
      <c r="Q55" s="20">
        <v>0</v>
      </c>
      <c r="AB55" s="6" t="str">
        <f>'LOCUS PH-G'!$C$4</f>
        <v>LINE 7</v>
      </c>
      <c r="AC55" s="6" t="b">
        <f t="shared" si="1"/>
        <v>0</v>
      </c>
    </row>
    <row r="56" spans="1:29">
      <c r="A56" s="6">
        <v>55</v>
      </c>
      <c r="B56" s="6" t="s">
        <v>128</v>
      </c>
      <c r="C56" s="2">
        <v>0.64700000000000002</v>
      </c>
      <c r="D56" s="2">
        <v>1.242</v>
      </c>
      <c r="E56" s="2">
        <v>2.1709999999999998</v>
      </c>
      <c r="F56" s="2">
        <v>2.5619999999999998</v>
      </c>
      <c r="G56" s="2">
        <v>5.3179999999999996</v>
      </c>
      <c r="H56" s="2">
        <v>8.593</v>
      </c>
      <c r="I56" s="2">
        <v>0.64700000000000002</v>
      </c>
      <c r="J56" s="2">
        <v>1.242</v>
      </c>
      <c r="K56" s="2">
        <v>2.1709999999999998</v>
      </c>
      <c r="L56" s="2">
        <v>11.457000000000001</v>
      </c>
      <c r="M56" s="2">
        <v>78.051400000000001</v>
      </c>
      <c r="N56" s="19">
        <v>3.08026</v>
      </c>
      <c r="O56" s="2">
        <v>-1.90923</v>
      </c>
      <c r="P56" s="2" t="s">
        <v>59</v>
      </c>
      <c r="Q56" s="20">
        <v>0</v>
      </c>
      <c r="AB56" s="6" t="str">
        <f>'LOCUS PH-G'!$C$4</f>
        <v>LINE 7</v>
      </c>
      <c r="AC56" s="6" t="b">
        <f t="shared" si="1"/>
        <v>0</v>
      </c>
    </row>
    <row r="57" spans="1:29">
      <c r="A57" s="6">
        <v>56</v>
      </c>
      <c r="B57" s="6" t="s">
        <v>129</v>
      </c>
      <c r="C57" s="2">
        <v>30.437000000000001</v>
      </c>
      <c r="D57" s="2">
        <v>42.444000000000003</v>
      </c>
      <c r="E57" s="2">
        <v>60.872999999999998</v>
      </c>
      <c r="F57" s="2">
        <v>28.356999999999999</v>
      </c>
      <c r="G57" s="2">
        <v>39.545000000000002</v>
      </c>
      <c r="H57" s="2">
        <v>56.715000000000003</v>
      </c>
      <c r="I57" s="2">
        <v>30.437000000000001</v>
      </c>
      <c r="J57" s="2">
        <v>42.444000000000003</v>
      </c>
      <c r="K57" s="2">
        <v>60.872999999999998</v>
      </c>
      <c r="L57" s="2">
        <v>75.619</v>
      </c>
      <c r="M57" s="1">
        <v>73.13</v>
      </c>
      <c r="N57" s="2">
        <v>5.1349999999999998</v>
      </c>
      <c r="O57" s="2">
        <v>0.97499999999999998</v>
      </c>
      <c r="P57" s="2" t="s">
        <v>60</v>
      </c>
      <c r="Q57" s="20">
        <v>0</v>
      </c>
      <c r="AB57" s="6" t="str">
        <f>'LOCUS PH-G'!$C$4</f>
        <v>LINE 7</v>
      </c>
      <c r="AC57" s="6" t="b">
        <f t="shared" si="1"/>
        <v>0</v>
      </c>
    </row>
    <row r="58" spans="1:29">
      <c r="A58" s="6">
        <v>57</v>
      </c>
      <c r="B58" s="6" t="s">
        <v>130</v>
      </c>
      <c r="C58" s="2">
        <v>0.90400000000000003</v>
      </c>
      <c r="D58" s="2">
        <v>1.786</v>
      </c>
      <c r="E58" s="2">
        <v>2.7879999999999998</v>
      </c>
      <c r="F58" s="2">
        <v>1.819</v>
      </c>
      <c r="G58" s="2">
        <v>3.5950000000000002</v>
      </c>
      <c r="H58" s="2">
        <v>5.6130000000000004</v>
      </c>
      <c r="I58" s="2">
        <v>0.90400000000000003</v>
      </c>
      <c r="J58" s="2">
        <v>1.786</v>
      </c>
      <c r="K58" s="2">
        <v>2.7879999999999998</v>
      </c>
      <c r="L58" s="2">
        <v>7.484</v>
      </c>
      <c r="M58" s="2">
        <v>81.712999999999994</v>
      </c>
      <c r="N58" s="2">
        <v>2.169</v>
      </c>
      <c r="O58" s="2">
        <v>-4.0279999999999996</v>
      </c>
      <c r="P58" s="2" t="s">
        <v>59</v>
      </c>
      <c r="Q58" s="20">
        <v>0</v>
      </c>
      <c r="AB58" s="6" t="str">
        <f>'LOCUS PH-G'!$C$4</f>
        <v>LINE 7</v>
      </c>
      <c r="AC58" s="6" t="b">
        <f t="shared" si="1"/>
        <v>0</v>
      </c>
    </row>
    <row r="59" spans="1:29">
      <c r="A59" s="6">
        <v>58</v>
      </c>
      <c r="B59" s="6" t="s">
        <v>131</v>
      </c>
      <c r="C59" s="2">
        <v>17.331</v>
      </c>
      <c r="D59" s="2">
        <v>27.838000000000001</v>
      </c>
      <c r="E59" s="2">
        <v>37.228999999999999</v>
      </c>
      <c r="F59" s="2">
        <v>26.402000000000001</v>
      </c>
      <c r="G59" s="2">
        <v>42.408999999999999</v>
      </c>
      <c r="H59" s="2">
        <v>56.715000000000003</v>
      </c>
      <c r="I59" s="2">
        <v>17.331</v>
      </c>
      <c r="J59" s="2">
        <v>27.838000000000001</v>
      </c>
      <c r="K59" s="2">
        <v>37.228999999999999</v>
      </c>
      <c r="L59" s="2">
        <v>75.619</v>
      </c>
      <c r="M59" s="1">
        <v>73.13</v>
      </c>
      <c r="N59" s="2">
        <v>5.1349999999999998</v>
      </c>
      <c r="O59" s="2">
        <v>0.97499999999999998</v>
      </c>
      <c r="P59" s="2" t="s">
        <v>60</v>
      </c>
      <c r="Q59" s="20">
        <v>0</v>
      </c>
      <c r="AB59" s="6" t="str">
        <f>'LOCUS PH-G'!$C$4</f>
        <v>LINE 7</v>
      </c>
      <c r="AC59" s="6" t="b">
        <f t="shared" si="1"/>
        <v>0</v>
      </c>
    </row>
    <row r="60" spans="1:29">
      <c r="A60" s="6">
        <v>59</v>
      </c>
      <c r="B60" s="6" t="s">
        <v>132</v>
      </c>
      <c r="C60" s="2">
        <v>0.505</v>
      </c>
      <c r="D60" s="2">
        <v>0.88400000000000001</v>
      </c>
      <c r="E60" s="2">
        <v>1.25</v>
      </c>
      <c r="F60" s="2">
        <v>2.2389999999999999</v>
      </c>
      <c r="G60" s="2">
        <v>3.919</v>
      </c>
      <c r="H60" s="2">
        <v>5.5430000000000001</v>
      </c>
      <c r="I60" s="2">
        <v>0.505</v>
      </c>
      <c r="J60" s="2">
        <v>0.88400000000000001</v>
      </c>
      <c r="K60" s="2">
        <v>1.25</v>
      </c>
      <c r="L60" s="2">
        <v>7.39</v>
      </c>
      <c r="M60" s="2">
        <v>58.451000000000001</v>
      </c>
      <c r="N60" s="2">
        <v>4.9829999999999997</v>
      </c>
      <c r="O60" s="1">
        <v>12.97</v>
      </c>
      <c r="P60" s="2" t="s">
        <v>59</v>
      </c>
      <c r="Q60" s="20">
        <v>0</v>
      </c>
      <c r="AB60" s="6" t="str">
        <f>'LOCUS PH-G'!$C$4</f>
        <v>LINE 7</v>
      </c>
      <c r="AC60" s="6" t="b">
        <f t="shared" si="1"/>
        <v>0</v>
      </c>
    </row>
    <row r="61" spans="1:29">
      <c r="A61" s="6">
        <v>60</v>
      </c>
      <c r="B61" s="6" t="s">
        <v>133</v>
      </c>
      <c r="C61" s="2">
        <v>0.505</v>
      </c>
      <c r="D61" s="2">
        <v>0.88400000000000001</v>
      </c>
      <c r="E61" s="2">
        <v>1.25</v>
      </c>
      <c r="F61" s="2">
        <v>2.2389999999999999</v>
      </c>
      <c r="G61" s="2">
        <v>3.919</v>
      </c>
      <c r="H61" s="2">
        <v>5.5430000000000001</v>
      </c>
      <c r="I61" s="2">
        <v>0.505</v>
      </c>
      <c r="J61" s="2">
        <v>0.88400000000000001</v>
      </c>
      <c r="K61" s="2">
        <v>1.25</v>
      </c>
      <c r="L61" s="2">
        <v>7.39</v>
      </c>
      <c r="M61" s="2">
        <v>58.451000000000001</v>
      </c>
      <c r="N61" s="2">
        <v>4.9829999999999997</v>
      </c>
      <c r="O61" s="1">
        <v>12.97</v>
      </c>
      <c r="P61" s="2" t="s">
        <v>59</v>
      </c>
      <c r="Q61" s="20">
        <v>0</v>
      </c>
      <c r="AB61" s="6" t="str">
        <f>'LOCUS PH-G'!$C$4</f>
        <v>LINE 7</v>
      </c>
      <c r="AC61" s="6" t="b">
        <f t="shared" si="1"/>
        <v>0</v>
      </c>
    </row>
    <row r="62" spans="1:29">
      <c r="A62" s="6">
        <v>61</v>
      </c>
      <c r="B62" s="6" t="s">
        <v>134</v>
      </c>
      <c r="C62" s="2">
        <v>0.83699999999999997</v>
      </c>
      <c r="D62" s="2">
        <v>1.4650000000000001</v>
      </c>
      <c r="E62" s="2">
        <v>2.0720000000000001</v>
      </c>
      <c r="F62" s="2">
        <v>2.2389999999999999</v>
      </c>
      <c r="G62" s="2">
        <v>3.919</v>
      </c>
      <c r="H62" s="2">
        <v>5.5430000000000001</v>
      </c>
      <c r="I62" s="2">
        <v>0.83699999999999997</v>
      </c>
      <c r="J62" s="2">
        <v>1.4650000000000001</v>
      </c>
      <c r="K62" s="2">
        <v>2.0720000000000001</v>
      </c>
      <c r="L62" s="2">
        <v>7.39</v>
      </c>
      <c r="M62" s="2">
        <v>58.451000000000001</v>
      </c>
      <c r="N62" s="2">
        <v>4.9829999999999997</v>
      </c>
      <c r="O62" s="1">
        <v>12.97</v>
      </c>
      <c r="P62" s="2" t="s">
        <v>59</v>
      </c>
      <c r="Q62" s="20">
        <v>0</v>
      </c>
      <c r="AB62" s="6" t="str">
        <f>'LOCUS PH-G'!$C$4</f>
        <v>LINE 7</v>
      </c>
      <c r="AC62" s="6" t="b">
        <f t="shared" si="1"/>
        <v>0</v>
      </c>
    </row>
    <row r="63" spans="1:29">
      <c r="A63" s="6">
        <v>62</v>
      </c>
      <c r="B63" s="6" t="s">
        <v>135</v>
      </c>
      <c r="C63" s="2">
        <v>0.83699999999999997</v>
      </c>
      <c r="D63" s="2">
        <v>1.4650000000000001</v>
      </c>
      <c r="E63" s="2">
        <v>2.0720000000000001</v>
      </c>
      <c r="F63" s="2">
        <v>2.2389999999999999</v>
      </c>
      <c r="G63" s="2">
        <v>3.919</v>
      </c>
      <c r="H63" s="2">
        <v>5.5430000000000001</v>
      </c>
      <c r="I63" s="2">
        <v>0.83699999999999997</v>
      </c>
      <c r="J63" s="2">
        <v>1.4650000000000001</v>
      </c>
      <c r="K63" s="2">
        <v>2.0720000000000001</v>
      </c>
      <c r="L63" s="2">
        <v>7.39</v>
      </c>
      <c r="M63" s="2">
        <v>58.451000000000001</v>
      </c>
      <c r="N63" s="2">
        <v>4.9829999999999997</v>
      </c>
      <c r="O63" s="1">
        <v>12.97</v>
      </c>
      <c r="P63" s="2" t="s">
        <v>59</v>
      </c>
      <c r="Q63" s="20">
        <v>0</v>
      </c>
      <c r="AB63" s="6" t="str">
        <f>'LOCUS PH-G'!$C$4</f>
        <v>LINE 7</v>
      </c>
      <c r="AC63" s="6" t="b">
        <f t="shared" si="1"/>
        <v>0</v>
      </c>
    </row>
    <row r="64" spans="1:29">
      <c r="A64" s="6">
        <v>63</v>
      </c>
      <c r="B64" s="6" t="s">
        <v>136</v>
      </c>
      <c r="C64" s="2">
        <v>8.8539999999999992</v>
      </c>
      <c r="D64" s="2">
        <v>19.401</v>
      </c>
      <c r="E64" s="2">
        <v>32.460999999999999</v>
      </c>
      <c r="F64" s="2">
        <v>15.188000000000001</v>
      </c>
      <c r="G64" s="2">
        <v>33.125999999999998</v>
      </c>
      <c r="H64" s="2">
        <v>55.426000000000002</v>
      </c>
      <c r="I64" s="2">
        <v>8.8539999999999992</v>
      </c>
      <c r="J64" s="2">
        <v>19.401</v>
      </c>
      <c r="K64" s="2">
        <v>32.460999999999999</v>
      </c>
      <c r="L64" s="2">
        <v>73.900999999999996</v>
      </c>
      <c r="M64" s="1">
        <v>73.13</v>
      </c>
      <c r="N64" s="2">
        <v>5.1349999999999998</v>
      </c>
      <c r="O64" s="2">
        <v>0.97499999999999998</v>
      </c>
      <c r="P64" s="2" t="s">
        <v>60</v>
      </c>
      <c r="Q64" s="20">
        <v>1</v>
      </c>
      <c r="AB64" s="6" t="str">
        <f>'LOCUS PH-G'!$C$4</f>
        <v>LINE 7</v>
      </c>
      <c r="AC64" s="6" t="b">
        <f t="shared" si="1"/>
        <v>0</v>
      </c>
    </row>
    <row r="65" spans="1:29">
      <c r="A65" s="6">
        <v>64</v>
      </c>
      <c r="B65" s="6" t="s">
        <v>137</v>
      </c>
      <c r="C65" s="2">
        <v>8.8539999999999992</v>
      </c>
      <c r="D65" s="2">
        <v>19.401</v>
      </c>
      <c r="E65" s="2">
        <v>32.460999999999999</v>
      </c>
      <c r="F65" s="2">
        <v>15.188000000000001</v>
      </c>
      <c r="G65" s="2">
        <v>33.125999999999998</v>
      </c>
      <c r="H65" s="2">
        <v>55.426000000000002</v>
      </c>
      <c r="I65" s="2">
        <v>8.8539999999999992</v>
      </c>
      <c r="J65" s="2">
        <v>19.401</v>
      </c>
      <c r="K65" s="2">
        <v>32.460999999999999</v>
      </c>
      <c r="L65" s="2">
        <v>73.900999999999996</v>
      </c>
      <c r="M65" s="1">
        <v>73.13</v>
      </c>
      <c r="N65" s="2">
        <v>5.1349999999999998</v>
      </c>
      <c r="O65" s="2">
        <v>0.97499999999999998</v>
      </c>
      <c r="P65" s="2" t="s">
        <v>60</v>
      </c>
      <c r="Q65" s="20">
        <v>1</v>
      </c>
      <c r="AB65" s="6" t="str">
        <f>'LOCUS PH-G'!$C$4</f>
        <v>LINE 7</v>
      </c>
      <c r="AC65" s="6" t="b">
        <f t="shared" si="1"/>
        <v>0</v>
      </c>
    </row>
    <row r="66" spans="1:29">
      <c r="A66" s="6">
        <v>65</v>
      </c>
      <c r="B66" s="6" t="s">
        <v>138</v>
      </c>
      <c r="C66" s="1">
        <v>2.21</v>
      </c>
      <c r="D66" s="2">
        <v>3.3149999999999999</v>
      </c>
      <c r="E66" s="2">
        <v>5.3460000000000001</v>
      </c>
      <c r="F66" s="2">
        <v>2.2909999999999999</v>
      </c>
      <c r="G66" s="2">
        <v>3.4369999999999998</v>
      </c>
      <c r="H66" s="2">
        <v>5.5430000000000001</v>
      </c>
      <c r="I66" s="1">
        <v>2.21</v>
      </c>
      <c r="J66" s="2">
        <v>3.3149999999999999</v>
      </c>
      <c r="K66" s="2">
        <v>5.3460000000000001</v>
      </c>
      <c r="L66" s="2">
        <v>7.39</v>
      </c>
      <c r="M66" s="2">
        <v>81.712999999999994</v>
      </c>
      <c r="N66" s="2">
        <v>2.169</v>
      </c>
      <c r="O66" s="2">
        <v>-4.0279999999999996</v>
      </c>
      <c r="P66" s="2" t="s">
        <v>59</v>
      </c>
      <c r="Q66" s="20">
        <v>0</v>
      </c>
      <c r="AB66" s="6" t="str">
        <f>'LOCUS PH-G'!$C$4</f>
        <v>LINE 7</v>
      </c>
      <c r="AC66" s="6" t="b">
        <f t="shared" si="1"/>
        <v>0</v>
      </c>
    </row>
    <row r="67" spans="1:29">
      <c r="A67" s="6">
        <v>66</v>
      </c>
      <c r="B67" s="6" t="s">
        <v>139</v>
      </c>
      <c r="C67" s="2">
        <v>0.98399999999999999</v>
      </c>
      <c r="D67" s="2">
        <v>1.526</v>
      </c>
      <c r="E67" s="2">
        <v>2.0219999999999998</v>
      </c>
      <c r="F67" s="2">
        <v>2.6970000000000001</v>
      </c>
      <c r="G67" s="2">
        <v>4.1840000000000002</v>
      </c>
      <c r="H67" s="2">
        <v>5.5430000000000001</v>
      </c>
      <c r="I67" s="2">
        <v>0.98399999999999999</v>
      </c>
      <c r="J67" s="2">
        <v>1.526</v>
      </c>
      <c r="K67" s="2">
        <v>2.0219999999999998</v>
      </c>
      <c r="L67" s="2">
        <v>7.39</v>
      </c>
      <c r="M67" s="2">
        <v>81.712999999999994</v>
      </c>
      <c r="N67" s="2">
        <v>2.169</v>
      </c>
      <c r="O67" s="2">
        <v>-4.0279999999999996</v>
      </c>
      <c r="P67" s="2" t="s">
        <v>59</v>
      </c>
      <c r="Q67" s="20">
        <v>0</v>
      </c>
      <c r="AB67" s="6" t="str">
        <f>'LOCUS PH-G'!$C$4</f>
        <v>LINE 7</v>
      </c>
      <c r="AC67" s="6" t="b">
        <f t="shared" ref="AC67:AC98" si="2">IF(AB67=B67,A67)</f>
        <v>0</v>
      </c>
    </row>
    <row r="68" spans="1:29">
      <c r="A68" s="6">
        <v>67</v>
      </c>
      <c r="B68" s="6" t="s">
        <v>140</v>
      </c>
      <c r="C68" s="2">
        <v>0.55600000000000005</v>
      </c>
      <c r="D68" s="2">
        <v>1.155</v>
      </c>
      <c r="E68" s="2">
        <v>1.869</v>
      </c>
      <c r="F68" s="2">
        <v>1.8129999999999999</v>
      </c>
      <c r="G68" s="2">
        <v>3.7690000000000001</v>
      </c>
      <c r="H68" s="2">
        <v>6.0970000000000004</v>
      </c>
      <c r="I68" s="2">
        <v>0.55600000000000005</v>
      </c>
      <c r="J68" s="2">
        <v>1.155</v>
      </c>
      <c r="K68" s="2">
        <v>1.869</v>
      </c>
      <c r="L68" s="2">
        <v>8.1289999999999996</v>
      </c>
      <c r="M68" s="2">
        <v>58.451000000000001</v>
      </c>
      <c r="N68" s="2">
        <v>4.9829999999999997</v>
      </c>
      <c r="O68" s="1">
        <v>12.97</v>
      </c>
      <c r="P68" s="2" t="s">
        <v>59</v>
      </c>
      <c r="Q68" s="20">
        <v>0</v>
      </c>
      <c r="AB68" s="6" t="str">
        <f>'LOCUS PH-G'!$C$4</f>
        <v>LINE 7</v>
      </c>
      <c r="AC68" s="6" t="b">
        <f t="shared" si="2"/>
        <v>0</v>
      </c>
    </row>
    <row r="69" spans="1:29">
      <c r="A69" s="6">
        <v>68</v>
      </c>
      <c r="B69" s="6" t="s">
        <v>141</v>
      </c>
      <c r="C69" s="2">
        <v>0.55600000000000005</v>
      </c>
      <c r="D69" s="2">
        <v>1.155</v>
      </c>
      <c r="E69" s="2">
        <v>1.869</v>
      </c>
      <c r="F69" s="2">
        <v>1.8129999999999999</v>
      </c>
      <c r="G69" s="2">
        <v>3.7690000000000001</v>
      </c>
      <c r="H69" s="2">
        <v>6.0970000000000004</v>
      </c>
      <c r="I69" s="2">
        <v>0.55600000000000005</v>
      </c>
      <c r="J69" s="2">
        <v>1.155</v>
      </c>
      <c r="K69" s="2">
        <v>1.869</v>
      </c>
      <c r="L69" s="2">
        <v>8.1289999999999996</v>
      </c>
      <c r="M69" s="2">
        <v>58.451000000000001</v>
      </c>
      <c r="N69" s="2">
        <v>4.9829999999999997</v>
      </c>
      <c r="O69" s="1">
        <v>12.97</v>
      </c>
      <c r="P69" s="2" t="s">
        <v>59</v>
      </c>
      <c r="Q69" s="20">
        <v>0</v>
      </c>
      <c r="AB69" s="6" t="str">
        <f>'LOCUS PH-G'!$C$4</f>
        <v>LINE 7</v>
      </c>
      <c r="AC69" s="6" t="b">
        <f t="shared" si="2"/>
        <v>0</v>
      </c>
    </row>
    <row r="70" spans="1:29">
      <c r="A70" s="6">
        <v>69</v>
      </c>
      <c r="B70" s="6" t="s">
        <v>142</v>
      </c>
      <c r="C70" s="2">
        <v>1.3540000000000001</v>
      </c>
      <c r="D70" s="2">
        <v>2.6819999999999999</v>
      </c>
      <c r="E70" s="2">
        <v>4.194</v>
      </c>
      <c r="F70" s="2">
        <v>1.79</v>
      </c>
      <c r="G70" s="2">
        <v>3.544</v>
      </c>
      <c r="H70" s="2">
        <v>5.5430000000000001</v>
      </c>
      <c r="I70" s="2">
        <v>1.3540000000000001</v>
      </c>
      <c r="J70" s="2">
        <v>2.6819999999999999</v>
      </c>
      <c r="K70" s="2">
        <v>4.194</v>
      </c>
      <c r="L70" s="2">
        <v>7.39</v>
      </c>
      <c r="M70" s="1">
        <v>73.13</v>
      </c>
      <c r="N70" s="2">
        <v>5.1349999999999998</v>
      </c>
      <c r="O70" s="2">
        <v>0.97499999999999998</v>
      </c>
      <c r="P70" s="2" t="s">
        <v>59</v>
      </c>
      <c r="Q70" s="20">
        <v>1</v>
      </c>
      <c r="AB70" s="6" t="str">
        <f>'LOCUS PH-G'!$C$4</f>
        <v>LINE 7</v>
      </c>
      <c r="AC70" s="6" t="b">
        <f t="shared" si="2"/>
        <v>0</v>
      </c>
    </row>
    <row r="71" spans="1:29">
      <c r="A71" s="6">
        <v>70</v>
      </c>
      <c r="B71" s="6" t="s">
        <v>143</v>
      </c>
      <c r="C71" s="2">
        <v>1.3540000000000001</v>
      </c>
      <c r="D71" s="2">
        <v>2.6819999999999999</v>
      </c>
      <c r="E71" s="2">
        <v>4.194</v>
      </c>
      <c r="F71" s="2">
        <v>1.79</v>
      </c>
      <c r="G71" s="2">
        <v>3.544</v>
      </c>
      <c r="H71" s="2">
        <v>5.5430000000000001</v>
      </c>
      <c r="I71" s="2">
        <v>1.3540000000000001</v>
      </c>
      <c r="J71" s="2">
        <v>2.6819999999999999</v>
      </c>
      <c r="K71" s="2">
        <v>4.194</v>
      </c>
      <c r="L71" s="2">
        <v>7.39</v>
      </c>
      <c r="M71" s="1">
        <v>73.13</v>
      </c>
      <c r="N71" s="2">
        <v>5.1349999999999998</v>
      </c>
      <c r="O71" s="2">
        <v>0.97499999999999998</v>
      </c>
      <c r="P71" s="2" t="s">
        <v>59</v>
      </c>
      <c r="Q71" s="20">
        <v>1</v>
      </c>
      <c r="AB71" s="6" t="str">
        <f>'LOCUS PH-G'!$C$4</f>
        <v>LINE 7</v>
      </c>
      <c r="AC71" s="6" t="b">
        <f t="shared" si="2"/>
        <v>0</v>
      </c>
    </row>
    <row r="72" spans="1:29">
      <c r="A72" s="6">
        <v>71</v>
      </c>
      <c r="B72" s="58" t="s">
        <v>144</v>
      </c>
      <c r="C72" s="2">
        <v>21.704545454545453</v>
      </c>
      <c r="D72" s="2">
        <v>32.5</v>
      </c>
      <c r="E72" s="2">
        <v>51.477272727272734</v>
      </c>
      <c r="F72" s="2">
        <v>29.090909090909093</v>
      </c>
      <c r="G72" s="2">
        <v>43.75</v>
      </c>
      <c r="H72" s="2">
        <v>69.318181818181813</v>
      </c>
      <c r="I72" s="2">
        <v>21.704545454545453</v>
      </c>
      <c r="J72" s="2">
        <v>32.5</v>
      </c>
      <c r="K72" s="2">
        <v>51.477272727272734</v>
      </c>
      <c r="L72" s="2">
        <v>92.386363636363654</v>
      </c>
      <c r="M72" s="1">
        <v>73</v>
      </c>
      <c r="N72" s="2">
        <v>2.9409999999999998</v>
      </c>
      <c r="O72" s="2">
        <v>4.4260000000000002</v>
      </c>
      <c r="P72" s="2" t="s">
        <v>60</v>
      </c>
      <c r="Q72" s="20">
        <v>0</v>
      </c>
      <c r="AB72" s="6" t="str">
        <f>'LOCUS PH-G'!$C$4</f>
        <v>LINE 7</v>
      </c>
      <c r="AC72" s="6" t="b">
        <f t="shared" si="2"/>
        <v>0</v>
      </c>
    </row>
    <row r="73" spans="1:29">
      <c r="A73" s="6">
        <v>72</v>
      </c>
      <c r="B73" s="58" t="s">
        <v>145</v>
      </c>
      <c r="C73" s="2">
        <v>21.704545454545453</v>
      </c>
      <c r="D73" s="2">
        <v>32.5</v>
      </c>
      <c r="E73" s="2">
        <v>51.477272727272734</v>
      </c>
      <c r="F73" s="2">
        <v>29.090909090909093</v>
      </c>
      <c r="G73" s="2">
        <v>43.75</v>
      </c>
      <c r="H73" s="2">
        <v>69.318181818181813</v>
      </c>
      <c r="I73" s="2">
        <v>21.704545454545453</v>
      </c>
      <c r="J73" s="2">
        <v>32.5</v>
      </c>
      <c r="K73" s="2">
        <v>51.477272727272734</v>
      </c>
      <c r="L73" s="2">
        <v>92.386363636363654</v>
      </c>
      <c r="M73" s="1">
        <v>73</v>
      </c>
      <c r="N73" s="2">
        <v>2.9409999999999998</v>
      </c>
      <c r="O73" s="2">
        <v>4.4260000000000002</v>
      </c>
      <c r="P73" s="2" t="s">
        <v>60</v>
      </c>
      <c r="Q73" s="20">
        <v>0</v>
      </c>
      <c r="AB73" s="6" t="str">
        <f>'LOCUS PH-G'!$C$4</f>
        <v>LINE 7</v>
      </c>
      <c r="AC73" s="6" t="b">
        <f t="shared" si="2"/>
        <v>0</v>
      </c>
    </row>
    <row r="74" spans="1:29">
      <c r="A74" s="6">
        <v>73</v>
      </c>
      <c r="B74" s="6" t="s">
        <v>146</v>
      </c>
      <c r="C74" s="2">
        <v>1.6</v>
      </c>
      <c r="D74" s="2">
        <v>3.07</v>
      </c>
      <c r="E74" s="2">
        <v>5.62</v>
      </c>
      <c r="F74" s="2">
        <v>3.16</v>
      </c>
      <c r="G74" s="2">
        <v>6.06</v>
      </c>
      <c r="H74" s="2">
        <v>11.09</v>
      </c>
      <c r="I74" s="2">
        <v>8.25</v>
      </c>
      <c r="J74" s="2">
        <v>15.86</v>
      </c>
      <c r="K74" s="2">
        <v>29</v>
      </c>
      <c r="L74" s="2">
        <v>14.78</v>
      </c>
      <c r="M74" s="1">
        <v>73.13</v>
      </c>
      <c r="N74" s="2">
        <v>5.1349999999999998</v>
      </c>
      <c r="O74" s="2">
        <v>0.97499999999999998</v>
      </c>
      <c r="P74" s="2" t="s">
        <v>60</v>
      </c>
      <c r="Q74" s="20">
        <v>0</v>
      </c>
      <c r="AB74" s="6" t="str">
        <f>'LOCUS PH-G'!$C$4</f>
        <v>LINE 7</v>
      </c>
      <c r="AC74" s="6" t="b">
        <f t="shared" si="2"/>
        <v>0</v>
      </c>
    </row>
    <row r="75" spans="1:29">
      <c r="A75" s="6">
        <v>74</v>
      </c>
      <c r="B75" s="6" t="s">
        <v>147</v>
      </c>
      <c r="C75" s="2">
        <v>1.6</v>
      </c>
      <c r="D75" s="2">
        <v>3.07</v>
      </c>
      <c r="E75" s="2">
        <v>5.62</v>
      </c>
      <c r="F75" s="2">
        <v>3.16</v>
      </c>
      <c r="G75" s="2">
        <v>6.06</v>
      </c>
      <c r="H75" s="2">
        <v>11.09</v>
      </c>
      <c r="I75" s="2">
        <v>8.25</v>
      </c>
      <c r="J75" s="2">
        <v>15.86</v>
      </c>
      <c r="K75" s="2">
        <v>29</v>
      </c>
      <c r="L75" s="2">
        <v>14.78</v>
      </c>
      <c r="M75" s="1">
        <v>73.13</v>
      </c>
      <c r="N75" s="2">
        <v>5.1349999999999998</v>
      </c>
      <c r="O75" s="2">
        <v>0.97499999999999998</v>
      </c>
      <c r="P75" s="2" t="s">
        <v>60</v>
      </c>
      <c r="Q75" s="20">
        <v>0</v>
      </c>
      <c r="AB75" s="6" t="str">
        <f>'LOCUS PH-G'!$C$4</f>
        <v>LINE 7</v>
      </c>
      <c r="AC75" s="6" t="b">
        <f t="shared" si="2"/>
        <v>0</v>
      </c>
    </row>
    <row r="76" spans="1:29">
      <c r="A76" s="6">
        <v>75</v>
      </c>
      <c r="B76" s="6" t="s">
        <v>148</v>
      </c>
      <c r="C76" s="2">
        <v>9.2200000000000006</v>
      </c>
      <c r="D76" s="2">
        <v>16.52</v>
      </c>
      <c r="E76" s="2">
        <v>28.82</v>
      </c>
      <c r="F76" s="2">
        <v>11.08</v>
      </c>
      <c r="G76" s="2">
        <v>19.850000000000001</v>
      </c>
      <c r="H76" s="2">
        <v>34.64</v>
      </c>
      <c r="I76" s="2">
        <v>28.17</v>
      </c>
      <c r="J76" s="2">
        <v>50.49</v>
      </c>
      <c r="K76" s="2">
        <v>88.09</v>
      </c>
      <c r="L76" s="2">
        <v>46.19</v>
      </c>
      <c r="M76" s="2">
        <v>78.051400000000001</v>
      </c>
      <c r="N76" s="19">
        <v>3.08026</v>
      </c>
      <c r="O76" s="2">
        <v>-1.90923</v>
      </c>
      <c r="P76" s="2" t="s">
        <v>60</v>
      </c>
      <c r="Q76" s="20">
        <v>0</v>
      </c>
      <c r="AB76" s="6" t="str">
        <f>'LOCUS PH-G'!$C$4</f>
        <v>LINE 7</v>
      </c>
      <c r="AC76" s="6" t="b">
        <f t="shared" si="2"/>
        <v>0</v>
      </c>
    </row>
    <row r="77" spans="1:29">
      <c r="A77" s="6">
        <v>76</v>
      </c>
      <c r="B77" s="6" t="s">
        <v>149</v>
      </c>
      <c r="C77" s="2">
        <v>3.3620000000000001</v>
      </c>
      <c r="D77" s="2">
        <v>11.755000000000001</v>
      </c>
      <c r="E77" s="2">
        <v>27.567</v>
      </c>
      <c r="F77" s="2">
        <v>3.38</v>
      </c>
      <c r="G77" s="2">
        <v>11.817</v>
      </c>
      <c r="H77" s="2">
        <v>27.713000000000001</v>
      </c>
      <c r="I77" s="2">
        <v>3.3620000000000001</v>
      </c>
      <c r="J77" s="2">
        <v>11.755000000000001</v>
      </c>
      <c r="K77" s="2">
        <v>27.567</v>
      </c>
      <c r="L77" s="2">
        <v>36.950000000000003</v>
      </c>
      <c r="M77" s="2">
        <v>78.051400000000001</v>
      </c>
      <c r="N77" s="19">
        <v>3.08026</v>
      </c>
      <c r="O77" s="2">
        <v>-1.90923</v>
      </c>
      <c r="P77" s="2" t="s">
        <v>60</v>
      </c>
      <c r="Q77" s="20">
        <v>0</v>
      </c>
      <c r="AB77" s="6" t="str">
        <f>'LOCUS PH-G'!$C$4</f>
        <v>LINE 7</v>
      </c>
      <c r="AC77" s="6" t="b">
        <f t="shared" si="2"/>
        <v>0</v>
      </c>
    </row>
    <row r="78" spans="1:29">
      <c r="A78" s="6">
        <v>77</v>
      </c>
      <c r="B78" s="6" t="s">
        <v>150</v>
      </c>
      <c r="C78" s="2">
        <v>1.6</v>
      </c>
      <c r="D78" s="2">
        <v>2.8</v>
      </c>
      <c r="E78" s="2">
        <v>3.96</v>
      </c>
      <c r="F78" s="2">
        <v>4.4800000000000004</v>
      </c>
      <c r="G78" s="2">
        <v>7.84</v>
      </c>
      <c r="H78" s="2">
        <v>11.09</v>
      </c>
      <c r="I78" s="2">
        <v>1.6</v>
      </c>
      <c r="J78" s="2">
        <v>2.8</v>
      </c>
      <c r="K78" s="2">
        <v>3.96</v>
      </c>
      <c r="L78" s="2">
        <v>14.78</v>
      </c>
      <c r="M78" s="1">
        <v>73.13</v>
      </c>
      <c r="N78" s="2">
        <v>5.1349999999999998</v>
      </c>
      <c r="O78" s="2">
        <v>0.97499999999999998</v>
      </c>
      <c r="P78" s="2" t="s">
        <v>60</v>
      </c>
      <c r="Q78" s="20">
        <v>0</v>
      </c>
      <c r="AB78" s="6" t="str">
        <f>'LOCUS PH-G'!$C$4</f>
        <v>LINE 7</v>
      </c>
      <c r="AC78" s="6" t="b">
        <f t="shared" si="2"/>
        <v>0</v>
      </c>
    </row>
    <row r="79" spans="1:29">
      <c r="A79" s="6">
        <v>78</v>
      </c>
      <c r="B79" s="6" t="s">
        <v>151</v>
      </c>
      <c r="C79" s="2">
        <v>1.6</v>
      </c>
      <c r="D79" s="2">
        <v>2.8</v>
      </c>
      <c r="E79" s="2">
        <v>3.96</v>
      </c>
      <c r="F79" s="2">
        <v>4.4800000000000004</v>
      </c>
      <c r="G79" s="2">
        <v>7.84</v>
      </c>
      <c r="H79" s="2">
        <v>11.09</v>
      </c>
      <c r="I79" s="2">
        <v>1.6</v>
      </c>
      <c r="J79" s="2">
        <v>2.8</v>
      </c>
      <c r="K79" s="2">
        <v>3.96</v>
      </c>
      <c r="L79" s="2">
        <v>14.78</v>
      </c>
      <c r="M79" s="1">
        <v>73.13</v>
      </c>
      <c r="N79" s="2">
        <v>5.1349999999999998</v>
      </c>
      <c r="O79" s="2">
        <v>0.97499999999999998</v>
      </c>
      <c r="P79" s="2" t="s">
        <v>60</v>
      </c>
      <c r="Q79" s="20">
        <v>0</v>
      </c>
      <c r="AB79" s="6" t="str">
        <f>'LOCUS PH-G'!$C$4</f>
        <v>LINE 7</v>
      </c>
      <c r="AC79" s="6" t="b">
        <f t="shared" si="2"/>
        <v>0</v>
      </c>
    </row>
    <row r="80" spans="1:29">
      <c r="A80" s="6">
        <v>79</v>
      </c>
      <c r="B80" s="6" t="s">
        <v>152</v>
      </c>
      <c r="C80" s="2">
        <v>9.2200000000000006</v>
      </c>
      <c r="D80" s="2">
        <v>13.62</v>
      </c>
      <c r="E80" s="2">
        <v>18.43</v>
      </c>
      <c r="F80" s="2">
        <v>17.32</v>
      </c>
      <c r="G80" s="2">
        <v>25.6</v>
      </c>
      <c r="H80" s="2">
        <v>34.64</v>
      </c>
      <c r="I80" s="2">
        <v>28.17</v>
      </c>
      <c r="J80" s="2">
        <v>41.64</v>
      </c>
      <c r="K80" s="2">
        <v>56.34</v>
      </c>
      <c r="L80" s="2">
        <v>46.19</v>
      </c>
      <c r="M80" s="2">
        <v>78.051400000000001</v>
      </c>
      <c r="N80" s="19">
        <v>3.08026</v>
      </c>
      <c r="O80" s="2">
        <v>-1.90923</v>
      </c>
      <c r="P80" s="2" t="s">
        <v>60</v>
      </c>
      <c r="Q80" s="20">
        <v>0</v>
      </c>
      <c r="AB80" s="6" t="str">
        <f>'LOCUS PH-G'!$C$4</f>
        <v>LINE 7</v>
      </c>
      <c r="AC80" s="6" t="b">
        <f t="shared" si="2"/>
        <v>0</v>
      </c>
    </row>
    <row r="81" spans="1:29">
      <c r="A81" s="6">
        <v>80</v>
      </c>
      <c r="B81" s="6" t="s">
        <v>153</v>
      </c>
      <c r="C81" s="2">
        <v>30.44</v>
      </c>
      <c r="D81" s="2">
        <v>39.11</v>
      </c>
      <c r="E81" s="2">
        <v>60.87</v>
      </c>
      <c r="F81" s="2">
        <v>30.48</v>
      </c>
      <c r="G81" s="2">
        <v>39.17</v>
      </c>
      <c r="H81" s="2">
        <v>60.97</v>
      </c>
      <c r="I81" s="2">
        <v>30.44</v>
      </c>
      <c r="J81" s="2">
        <v>39.11</v>
      </c>
      <c r="K81" s="2">
        <v>60.87</v>
      </c>
      <c r="L81" s="2">
        <v>81.290999999999997</v>
      </c>
      <c r="M81" s="1">
        <v>73.13</v>
      </c>
      <c r="N81" s="2">
        <v>5.1349999999999998</v>
      </c>
      <c r="O81" s="2">
        <v>0.97499999999999998</v>
      </c>
      <c r="P81" s="2" t="s">
        <v>60</v>
      </c>
      <c r="Q81" s="20">
        <v>0</v>
      </c>
      <c r="AB81" s="6" t="str">
        <f>'LOCUS PH-G'!$C$4</f>
        <v>LINE 7</v>
      </c>
      <c r="AC81" s="6" t="b">
        <f t="shared" si="2"/>
        <v>0</v>
      </c>
    </row>
    <row r="82" spans="1:29">
      <c r="A82" s="6">
        <v>81</v>
      </c>
      <c r="B82" s="6" t="s">
        <v>154</v>
      </c>
      <c r="C82" s="2">
        <v>20.81</v>
      </c>
      <c r="D82" s="2">
        <v>28.65</v>
      </c>
      <c r="E82" s="2">
        <v>41.61</v>
      </c>
      <c r="F82" s="2">
        <v>15.24</v>
      </c>
      <c r="G82" s="2">
        <v>20.98</v>
      </c>
      <c r="H82" s="2">
        <v>30.48</v>
      </c>
      <c r="I82" s="2">
        <v>20.81</v>
      </c>
      <c r="J82" s="2">
        <v>28.65</v>
      </c>
      <c r="K82" s="2">
        <v>41.61</v>
      </c>
      <c r="L82" s="2">
        <v>40.645000000000003</v>
      </c>
      <c r="M82" s="2">
        <v>78.051400000000001</v>
      </c>
      <c r="N82" s="19">
        <v>3.08026</v>
      </c>
      <c r="O82" s="2">
        <v>-1.90923</v>
      </c>
      <c r="P82" s="2" t="s">
        <v>60</v>
      </c>
      <c r="Q82" s="20">
        <v>0</v>
      </c>
      <c r="AB82" s="6" t="str">
        <f>'LOCUS PH-G'!$C$4</f>
        <v>LINE 7</v>
      </c>
      <c r="AC82" s="6" t="b">
        <f t="shared" si="2"/>
        <v>0</v>
      </c>
    </row>
    <row r="83" spans="1:29">
      <c r="A83" s="6">
        <v>82</v>
      </c>
      <c r="B83" s="6" t="s">
        <v>155</v>
      </c>
      <c r="C83" s="2">
        <v>13.24</v>
      </c>
      <c r="D83" s="2">
        <v>19.39</v>
      </c>
      <c r="E83" s="2">
        <v>26.49</v>
      </c>
      <c r="F83" s="2">
        <v>13.86</v>
      </c>
      <c r="G83" s="2">
        <v>20.29</v>
      </c>
      <c r="H83" s="2">
        <v>27.71</v>
      </c>
      <c r="I83" s="2">
        <v>13.24</v>
      </c>
      <c r="J83" s="2">
        <v>19.39</v>
      </c>
      <c r="K83" s="2">
        <v>26.49</v>
      </c>
      <c r="L83" s="2">
        <v>36.950000000000003</v>
      </c>
      <c r="M83" s="2">
        <v>78.051400000000001</v>
      </c>
      <c r="N83" s="19">
        <v>3.08026</v>
      </c>
      <c r="O83" s="2">
        <v>-1.90923</v>
      </c>
      <c r="P83" s="2" t="s">
        <v>60</v>
      </c>
      <c r="Q83" s="20">
        <v>0</v>
      </c>
      <c r="AB83" s="6" t="str">
        <f>'LOCUS PH-G'!$C$4</f>
        <v>LINE 7</v>
      </c>
      <c r="AC83" s="6" t="b">
        <f t="shared" si="2"/>
        <v>0</v>
      </c>
    </row>
    <row r="84" spans="1:29">
      <c r="A84" s="6">
        <v>83</v>
      </c>
      <c r="B84" s="6" t="s">
        <v>156</v>
      </c>
      <c r="C84" s="2">
        <v>13.134</v>
      </c>
      <c r="D84" s="2">
        <v>25.082999999999998</v>
      </c>
      <c r="E84" s="2">
        <v>38.173000000000002</v>
      </c>
      <c r="F84" s="2">
        <v>19.513999999999999</v>
      </c>
      <c r="G84" s="2">
        <v>37.267000000000003</v>
      </c>
      <c r="H84" s="2">
        <v>56.715000000000003</v>
      </c>
      <c r="I84" s="2">
        <v>13.134</v>
      </c>
      <c r="J84" s="2">
        <v>25.082999999999998</v>
      </c>
      <c r="K84" s="2">
        <v>38.173000000000002</v>
      </c>
      <c r="L84" s="2">
        <v>75.619</v>
      </c>
      <c r="M84" s="1">
        <v>73.13</v>
      </c>
      <c r="N84" s="2">
        <v>5.1349999999999998</v>
      </c>
      <c r="O84" s="2">
        <v>0.97499999999999998</v>
      </c>
      <c r="P84" s="2" t="s">
        <v>60</v>
      </c>
      <c r="Q84" s="20">
        <v>0</v>
      </c>
      <c r="AB84" s="6" t="str">
        <f>'LOCUS PH-G'!$C$4</f>
        <v>LINE 7</v>
      </c>
      <c r="AC84" s="6" t="b">
        <f t="shared" si="2"/>
        <v>0</v>
      </c>
    </row>
    <row r="85" spans="1:29">
      <c r="A85" s="6">
        <v>84</v>
      </c>
      <c r="B85" s="6" t="s">
        <v>157</v>
      </c>
      <c r="C85" s="2">
        <v>11.81</v>
      </c>
      <c r="D85" s="2">
        <v>23.07</v>
      </c>
      <c r="E85" s="2">
        <v>39.450000000000003</v>
      </c>
      <c r="F85" s="2">
        <v>9.1199999999999992</v>
      </c>
      <c r="G85" s="2">
        <v>17.829999999999998</v>
      </c>
      <c r="H85" s="2">
        <v>30.48</v>
      </c>
      <c r="I85" s="2">
        <v>11.81</v>
      </c>
      <c r="J85" s="2">
        <v>23.07</v>
      </c>
      <c r="K85" s="2">
        <v>39.450000000000003</v>
      </c>
      <c r="L85" s="2">
        <v>40.65</v>
      </c>
      <c r="M85" s="1">
        <v>73.13</v>
      </c>
      <c r="N85" s="2">
        <v>5.1349999999999998</v>
      </c>
      <c r="O85" s="2">
        <v>0.97499999999999998</v>
      </c>
      <c r="P85" s="2" t="s">
        <v>60</v>
      </c>
      <c r="Q85" s="20">
        <v>0</v>
      </c>
      <c r="AB85" s="6" t="str">
        <f>'LOCUS PH-G'!$C$4</f>
        <v>LINE 7</v>
      </c>
      <c r="AC85" s="6" t="b">
        <f t="shared" si="2"/>
        <v>0</v>
      </c>
    </row>
    <row r="86" spans="1:29">
      <c r="A86" s="6">
        <v>85</v>
      </c>
      <c r="B86" s="6" t="s">
        <v>158</v>
      </c>
      <c r="C86" s="2">
        <v>2.08</v>
      </c>
      <c r="D86" s="2">
        <v>3.194</v>
      </c>
      <c r="E86" s="2">
        <v>5.2089999999999996</v>
      </c>
      <c r="F86" s="2">
        <v>8.593</v>
      </c>
      <c r="G86" s="2">
        <v>8.593</v>
      </c>
      <c r="H86" s="2">
        <v>8.593</v>
      </c>
      <c r="I86" s="2">
        <v>2.08</v>
      </c>
      <c r="J86" s="2">
        <v>3.194</v>
      </c>
      <c r="K86" s="2">
        <v>11.898</v>
      </c>
      <c r="L86" s="2">
        <v>11.457000000000001</v>
      </c>
      <c r="M86" s="1">
        <v>73.13</v>
      </c>
      <c r="N86" s="2">
        <v>5.1349999999999998</v>
      </c>
      <c r="O86" s="2">
        <v>0.97499999999999998</v>
      </c>
      <c r="P86" s="2" t="s">
        <v>59</v>
      </c>
      <c r="Q86" s="20">
        <v>0</v>
      </c>
      <c r="AB86" s="6" t="str">
        <f>'LOCUS PH-G'!$C$4</f>
        <v>LINE 7</v>
      </c>
      <c r="AC86" s="6" t="b">
        <f t="shared" si="2"/>
        <v>0</v>
      </c>
    </row>
    <row r="87" spans="1:29">
      <c r="A87" s="6">
        <v>86</v>
      </c>
      <c r="B87" s="6" t="s">
        <v>159</v>
      </c>
      <c r="C87" s="2">
        <v>2.7440000000000002</v>
      </c>
      <c r="D87" s="2">
        <v>3.5990000000000002</v>
      </c>
      <c r="E87" s="2">
        <v>5.4880000000000004</v>
      </c>
      <c r="F87" s="2">
        <v>8.593</v>
      </c>
      <c r="G87" s="2">
        <v>8.593</v>
      </c>
      <c r="H87" s="2">
        <v>8.593</v>
      </c>
      <c r="I87" s="2">
        <v>2.7440000000000002</v>
      </c>
      <c r="J87" s="2">
        <v>3.5990000000000002</v>
      </c>
      <c r="K87" s="2">
        <v>12.536</v>
      </c>
      <c r="L87" s="2">
        <v>11.457000000000001</v>
      </c>
      <c r="M87" s="1">
        <v>73.13</v>
      </c>
      <c r="N87" s="2">
        <v>5.1349999999999998</v>
      </c>
      <c r="O87" s="2">
        <v>0.97499999999999998</v>
      </c>
      <c r="P87" s="2" t="s">
        <v>59</v>
      </c>
      <c r="Q87" s="20">
        <v>0</v>
      </c>
      <c r="AB87" s="6" t="str">
        <f>'LOCUS PH-G'!$C$4</f>
        <v>LINE 7</v>
      </c>
      <c r="AC87" s="6" t="b">
        <f t="shared" si="2"/>
        <v>0</v>
      </c>
    </row>
    <row r="88" spans="1:29">
      <c r="A88" s="6">
        <v>87</v>
      </c>
      <c r="B88" s="6" t="s">
        <v>160</v>
      </c>
      <c r="C88" s="2">
        <v>3.3620000000000001</v>
      </c>
      <c r="D88" s="2">
        <v>7.8890000000000002</v>
      </c>
      <c r="E88" s="2">
        <v>13.734999999999999</v>
      </c>
      <c r="F88" s="2">
        <v>6.7839999999999998</v>
      </c>
      <c r="G88" s="2">
        <v>15.917999999999999</v>
      </c>
      <c r="H88" s="2">
        <v>27.713000000000001</v>
      </c>
      <c r="I88" s="2">
        <v>3.3620000000000001</v>
      </c>
      <c r="J88" s="2">
        <v>7.8890000000000002</v>
      </c>
      <c r="K88" s="2">
        <v>13.734999999999999</v>
      </c>
      <c r="L88" s="2">
        <v>36.950000000000003</v>
      </c>
      <c r="M88" s="2">
        <v>78.051400000000001</v>
      </c>
      <c r="N88" s="19">
        <v>3.08026</v>
      </c>
      <c r="O88" s="2">
        <v>-1.90923</v>
      </c>
      <c r="P88" s="2" t="s">
        <v>60</v>
      </c>
      <c r="Q88" s="20">
        <v>0</v>
      </c>
      <c r="AB88" s="6" t="str">
        <f>'LOCUS PH-G'!$C$4</f>
        <v>LINE 7</v>
      </c>
      <c r="AC88" s="6" t="b">
        <f t="shared" si="2"/>
        <v>0</v>
      </c>
    </row>
    <row r="89" spans="1:29">
      <c r="A89" s="6">
        <v>88</v>
      </c>
      <c r="B89" s="6" t="s">
        <v>161</v>
      </c>
      <c r="C89" s="2">
        <v>13.42</v>
      </c>
      <c r="D89" s="2">
        <v>21.42</v>
      </c>
      <c r="E89" s="2">
        <v>35.119999999999997</v>
      </c>
      <c r="F89" s="2">
        <v>13.23</v>
      </c>
      <c r="G89" s="2">
        <v>21.12</v>
      </c>
      <c r="H89" s="2">
        <v>34.64</v>
      </c>
      <c r="I89" s="2">
        <v>41.02</v>
      </c>
      <c r="J89" s="2">
        <v>65.459999999999994</v>
      </c>
      <c r="K89" s="2">
        <v>107.36</v>
      </c>
      <c r="L89" s="2">
        <v>46.19</v>
      </c>
      <c r="M89" s="2">
        <v>78.051400000000001</v>
      </c>
      <c r="N89" s="19">
        <v>3.08026</v>
      </c>
      <c r="O89" s="2">
        <v>-1.90923</v>
      </c>
      <c r="P89" s="2" t="s">
        <v>60</v>
      </c>
      <c r="Q89" s="20">
        <v>0</v>
      </c>
      <c r="AB89" s="6" t="str">
        <f>'LOCUS PH-G'!$C$4</f>
        <v>LINE 7</v>
      </c>
      <c r="AC89" s="6" t="b">
        <f t="shared" si="2"/>
        <v>0</v>
      </c>
    </row>
    <row r="90" spans="1:29">
      <c r="A90" s="6">
        <v>89</v>
      </c>
      <c r="B90" s="6" t="s">
        <v>162</v>
      </c>
      <c r="C90" s="2">
        <v>18.881250000000001</v>
      </c>
      <c r="D90" s="2">
        <v>37.3125</v>
      </c>
      <c r="E90" s="2">
        <v>58.256250000000001</v>
      </c>
      <c r="F90" s="2">
        <v>11.225</v>
      </c>
      <c r="G90" s="2">
        <v>22.1875</v>
      </c>
      <c r="H90" s="2">
        <v>34.643749999999997</v>
      </c>
      <c r="I90" s="2">
        <v>18.881250000000001</v>
      </c>
      <c r="J90" s="2">
        <v>37.3125</v>
      </c>
      <c r="K90" s="2">
        <v>58.256250000000001</v>
      </c>
      <c r="L90" s="2">
        <v>46.1875</v>
      </c>
      <c r="M90" s="2">
        <v>78.051400000000001</v>
      </c>
      <c r="N90" s="19">
        <v>3.08026</v>
      </c>
      <c r="O90" s="2">
        <v>-1.90923</v>
      </c>
      <c r="P90" s="2" t="s">
        <v>60</v>
      </c>
      <c r="Q90" s="20">
        <v>0</v>
      </c>
      <c r="AB90" s="6" t="str">
        <f>'LOCUS PH-G'!$C$4</f>
        <v>LINE 7</v>
      </c>
      <c r="AC90" s="6" t="b">
        <f t="shared" si="2"/>
        <v>0</v>
      </c>
    </row>
    <row r="91" spans="1:29">
      <c r="A91" s="6">
        <v>90</v>
      </c>
      <c r="B91" s="6" t="s">
        <v>163</v>
      </c>
      <c r="C91" s="2">
        <v>18.881250000000001</v>
      </c>
      <c r="D91" s="2">
        <v>37.3125</v>
      </c>
      <c r="E91" s="2">
        <v>58.256250000000001</v>
      </c>
      <c r="F91" s="2">
        <v>11.225</v>
      </c>
      <c r="G91" s="2">
        <v>22.1875</v>
      </c>
      <c r="H91" s="2">
        <v>34.643749999999997</v>
      </c>
      <c r="I91" s="2">
        <v>18.881250000000001</v>
      </c>
      <c r="J91" s="2">
        <v>37.3125</v>
      </c>
      <c r="K91" s="2">
        <v>58.256250000000001</v>
      </c>
      <c r="L91" s="2">
        <v>46.1875</v>
      </c>
      <c r="M91" s="2">
        <v>78.051400000000001</v>
      </c>
      <c r="N91" s="19">
        <v>3.08026</v>
      </c>
      <c r="O91" s="2">
        <v>-1.90923</v>
      </c>
      <c r="P91" s="2" t="s">
        <v>60</v>
      </c>
      <c r="Q91" s="20">
        <v>0</v>
      </c>
      <c r="AB91" s="6" t="str">
        <f>'LOCUS PH-G'!$C$4</f>
        <v>LINE 7</v>
      </c>
      <c r="AC91" s="6" t="b">
        <f t="shared" si="2"/>
        <v>0</v>
      </c>
    </row>
    <row r="92" spans="1:29">
      <c r="A92" s="6">
        <v>91</v>
      </c>
      <c r="B92" s="6" t="s">
        <v>164</v>
      </c>
      <c r="C92" s="2">
        <v>17.617999999999999</v>
      </c>
      <c r="D92" s="2">
        <v>24.532</v>
      </c>
      <c r="E92" s="2">
        <v>35.237000000000002</v>
      </c>
      <c r="F92" s="2">
        <v>13.856</v>
      </c>
      <c r="G92" s="2">
        <v>19.294</v>
      </c>
      <c r="H92" s="2">
        <v>27.713000000000001</v>
      </c>
      <c r="I92" s="2">
        <v>17.617999999999999</v>
      </c>
      <c r="J92" s="2">
        <v>24.532</v>
      </c>
      <c r="K92" s="2">
        <v>35.237000000000002</v>
      </c>
      <c r="L92" s="2">
        <v>36.950000000000003</v>
      </c>
      <c r="M92" s="2">
        <v>77.891999999999996</v>
      </c>
      <c r="N92" s="2">
        <v>2.625</v>
      </c>
      <c r="O92" s="2">
        <v>-0.54900000000000004</v>
      </c>
      <c r="P92" s="2" t="s">
        <v>60</v>
      </c>
      <c r="Q92" s="20">
        <v>0</v>
      </c>
      <c r="AB92" s="6" t="str">
        <f>'LOCUS PH-G'!$C$4</f>
        <v>LINE 7</v>
      </c>
      <c r="AC92" s="6" t="b">
        <f t="shared" si="2"/>
        <v>0</v>
      </c>
    </row>
    <row r="93" spans="1:29">
      <c r="A93" s="6">
        <v>92</v>
      </c>
      <c r="B93" s="6" t="s">
        <v>165</v>
      </c>
      <c r="C93" s="2">
        <v>17.617999999999999</v>
      </c>
      <c r="D93" s="2">
        <v>24.532</v>
      </c>
      <c r="E93" s="2">
        <v>35.237000000000002</v>
      </c>
      <c r="F93" s="2">
        <v>13.856</v>
      </c>
      <c r="G93" s="2">
        <v>19.294</v>
      </c>
      <c r="H93" s="2">
        <v>27.713000000000001</v>
      </c>
      <c r="I93" s="2">
        <v>17.617999999999999</v>
      </c>
      <c r="J93" s="2">
        <v>24.532</v>
      </c>
      <c r="K93" s="2">
        <v>35.237000000000002</v>
      </c>
      <c r="L93" s="2">
        <v>36.950000000000003</v>
      </c>
      <c r="M93" s="2">
        <v>77.891999999999996</v>
      </c>
      <c r="N93" s="2">
        <v>2.625</v>
      </c>
      <c r="O93" s="2">
        <v>-0.54900000000000004</v>
      </c>
      <c r="P93" s="2" t="s">
        <v>60</v>
      </c>
      <c r="Q93" s="20">
        <v>0</v>
      </c>
      <c r="AB93" s="6" t="str">
        <f>'LOCUS PH-G'!$C$4</f>
        <v>LINE 7</v>
      </c>
      <c r="AC93" s="6" t="b">
        <f t="shared" si="2"/>
        <v>0</v>
      </c>
    </row>
    <row r="94" spans="1:29">
      <c r="A94" s="6">
        <v>93</v>
      </c>
      <c r="B94" s="6" t="s">
        <v>166</v>
      </c>
      <c r="C94" s="7">
        <v>9.7479999999999993</v>
      </c>
      <c r="D94" s="8">
        <v>25.895</v>
      </c>
      <c r="E94" s="8">
        <v>47.984000000000002</v>
      </c>
      <c r="F94" s="8">
        <v>1.5469999999999999</v>
      </c>
      <c r="G94" s="8">
        <v>4.109</v>
      </c>
      <c r="H94" s="8">
        <v>7.6150000000000002</v>
      </c>
      <c r="I94" s="8">
        <v>23.567</v>
      </c>
      <c r="J94" s="8">
        <v>62.604999999999997</v>
      </c>
      <c r="K94" s="8">
        <v>116.00700000000001</v>
      </c>
      <c r="L94" s="8">
        <v>55.426000000000002</v>
      </c>
      <c r="M94" s="8">
        <v>80.982600000000005</v>
      </c>
      <c r="N94" s="8">
        <v>2.4346000000000001</v>
      </c>
      <c r="O94" s="8">
        <v>-2.2551999999999999</v>
      </c>
      <c r="P94" s="2" t="s">
        <v>60</v>
      </c>
      <c r="Q94" s="20">
        <v>0</v>
      </c>
      <c r="AB94" s="6" t="str">
        <f>'LOCUS PH-G'!$C$4</f>
        <v>LINE 7</v>
      </c>
      <c r="AC94" s="6" t="b">
        <f t="shared" si="2"/>
        <v>0</v>
      </c>
    </row>
    <row r="95" spans="1:29">
      <c r="A95" s="6">
        <v>94</v>
      </c>
      <c r="B95" s="6" t="s">
        <v>167</v>
      </c>
      <c r="C95" s="9">
        <v>9.7479999999999993</v>
      </c>
      <c r="D95" s="10">
        <v>25.895</v>
      </c>
      <c r="E95" s="10">
        <v>47.984000000000002</v>
      </c>
      <c r="F95" s="10">
        <v>1.5469999999999999</v>
      </c>
      <c r="G95" s="10">
        <v>4.109</v>
      </c>
      <c r="H95" s="10">
        <v>7.6150000000000002</v>
      </c>
      <c r="I95" s="10">
        <v>23.567</v>
      </c>
      <c r="J95" s="10">
        <v>62.604999999999997</v>
      </c>
      <c r="K95" s="10">
        <v>116.00700000000001</v>
      </c>
      <c r="L95" s="10">
        <v>55.426000000000002</v>
      </c>
      <c r="M95" s="10">
        <v>80.982600000000005</v>
      </c>
      <c r="N95" s="10">
        <v>2.4346000000000001</v>
      </c>
      <c r="O95" s="10">
        <v>-2.2551999999999999</v>
      </c>
      <c r="P95" s="2" t="s">
        <v>60</v>
      </c>
      <c r="Q95" s="20">
        <v>0</v>
      </c>
      <c r="AB95" s="6" t="str">
        <f>'LOCUS PH-G'!$C$4</f>
        <v>LINE 7</v>
      </c>
      <c r="AC95" s="6" t="b">
        <f t="shared" si="2"/>
        <v>0</v>
      </c>
    </row>
    <row r="96" spans="1:29">
      <c r="A96" s="6">
        <v>95</v>
      </c>
      <c r="B96" s="6" t="s">
        <v>168</v>
      </c>
      <c r="C96" s="14">
        <v>27.42</v>
      </c>
      <c r="D96" s="12">
        <v>39.15</v>
      </c>
      <c r="E96" s="10">
        <v>54.841000000000001</v>
      </c>
      <c r="F96" s="10">
        <v>5.8029999999999999</v>
      </c>
      <c r="G96" s="10">
        <v>8.2850000000000001</v>
      </c>
      <c r="H96" s="10">
        <v>11.605</v>
      </c>
      <c r="I96" s="12">
        <v>83.82</v>
      </c>
      <c r="J96" s="10">
        <v>119.67400000000001</v>
      </c>
      <c r="K96" s="12">
        <v>167.64</v>
      </c>
      <c r="L96" s="10">
        <v>46.188000000000002</v>
      </c>
      <c r="M96" s="10">
        <v>78.051400000000001</v>
      </c>
      <c r="N96" s="10">
        <v>3.0802</v>
      </c>
      <c r="O96" s="10">
        <v>-1.9092</v>
      </c>
      <c r="P96" s="2" t="s">
        <v>60</v>
      </c>
      <c r="Q96" s="20">
        <v>0</v>
      </c>
      <c r="AB96" s="6" t="str">
        <f>'LOCUS PH-G'!$C$4</f>
        <v>LINE 7</v>
      </c>
      <c r="AC96" s="6" t="b">
        <f t="shared" si="2"/>
        <v>0</v>
      </c>
    </row>
    <row r="97" spans="1:29">
      <c r="A97" s="6">
        <v>96</v>
      </c>
      <c r="B97" s="6" t="s">
        <v>169</v>
      </c>
      <c r="C97" s="14">
        <v>27.42</v>
      </c>
      <c r="D97" s="12">
        <v>39.15</v>
      </c>
      <c r="E97" s="10">
        <v>54.841000000000001</v>
      </c>
      <c r="F97" s="10">
        <v>5.8029999999999999</v>
      </c>
      <c r="G97" s="10">
        <v>8.2850000000000001</v>
      </c>
      <c r="H97" s="10">
        <v>11.605</v>
      </c>
      <c r="I97" s="12">
        <v>83.82</v>
      </c>
      <c r="J97" s="10">
        <v>119.67400000000001</v>
      </c>
      <c r="K97" s="12">
        <v>167.64</v>
      </c>
      <c r="L97" s="10">
        <v>46.188000000000002</v>
      </c>
      <c r="M97" s="10">
        <v>78.051400000000001</v>
      </c>
      <c r="N97" s="10">
        <v>3.0802</v>
      </c>
      <c r="O97" s="10">
        <v>-1.9092</v>
      </c>
      <c r="P97" s="2" t="s">
        <v>60</v>
      </c>
      <c r="Q97" s="20">
        <v>0</v>
      </c>
      <c r="AB97" s="6" t="str">
        <f>'LOCUS PH-G'!$C$4</f>
        <v>LINE 7</v>
      </c>
      <c r="AC97" s="6" t="b">
        <f t="shared" si="2"/>
        <v>0</v>
      </c>
    </row>
    <row r="98" spans="1:29">
      <c r="A98" s="6">
        <v>97</v>
      </c>
      <c r="B98" s="6" t="s">
        <v>170</v>
      </c>
      <c r="C98" s="14">
        <v>18.88</v>
      </c>
      <c r="D98" s="12">
        <v>24.155000000000001</v>
      </c>
      <c r="E98" s="10">
        <v>37.759</v>
      </c>
      <c r="F98" s="10">
        <v>3.9950000000000001</v>
      </c>
      <c r="G98" s="10">
        <v>5.1120000000000001</v>
      </c>
      <c r="H98" s="10">
        <v>7.9909999999999997</v>
      </c>
      <c r="I98" s="12">
        <v>57.712000000000003</v>
      </c>
      <c r="J98" s="10">
        <v>73.837000000000003</v>
      </c>
      <c r="K98" s="12">
        <v>115.42400000000001</v>
      </c>
      <c r="L98" s="10">
        <v>46.188000000000002</v>
      </c>
      <c r="M98" s="10">
        <v>78.051400000000001</v>
      </c>
      <c r="N98" s="10">
        <v>3.0802</v>
      </c>
      <c r="O98" s="10">
        <v>-1.9092</v>
      </c>
      <c r="P98" s="2" t="s">
        <v>60</v>
      </c>
      <c r="Q98" s="20">
        <v>0</v>
      </c>
      <c r="AB98" s="6" t="str">
        <f>'LOCUS PH-G'!$C$4</f>
        <v>LINE 7</v>
      </c>
      <c r="AC98" s="6" t="b">
        <f t="shared" si="2"/>
        <v>0</v>
      </c>
    </row>
    <row r="99" spans="1:29">
      <c r="A99" s="6">
        <v>98</v>
      </c>
      <c r="B99" s="6" t="s">
        <v>171</v>
      </c>
      <c r="C99" s="14">
        <v>18.88</v>
      </c>
      <c r="D99" s="12">
        <v>24.155000000000001</v>
      </c>
      <c r="E99" s="10">
        <v>37.759</v>
      </c>
      <c r="F99" s="10">
        <v>3.9950000000000001</v>
      </c>
      <c r="G99" s="10">
        <v>5.1120000000000001</v>
      </c>
      <c r="H99" s="10">
        <v>7.9909999999999997</v>
      </c>
      <c r="I99" s="12">
        <v>57.712000000000003</v>
      </c>
      <c r="J99" s="10">
        <v>73.837000000000003</v>
      </c>
      <c r="K99" s="12">
        <v>115.42400000000001</v>
      </c>
      <c r="L99" s="10">
        <v>46.188000000000002</v>
      </c>
      <c r="M99" s="10">
        <v>78.051400000000001</v>
      </c>
      <c r="N99" s="10">
        <v>3.0802</v>
      </c>
      <c r="O99" s="10">
        <v>-1.9092</v>
      </c>
      <c r="P99" s="2" t="s">
        <v>60</v>
      </c>
      <c r="Q99" s="20">
        <v>0</v>
      </c>
      <c r="AB99" s="6" t="str">
        <f>'LOCUS PH-G'!$C$4</f>
        <v>LINE 7</v>
      </c>
      <c r="AC99" s="6" t="b">
        <f t="shared" ref="AC99:AC138" si="3">IF(AB99=B99,A99)</f>
        <v>0</v>
      </c>
    </row>
    <row r="100" spans="1:29">
      <c r="A100" s="6">
        <v>99</v>
      </c>
      <c r="B100" s="6" t="s">
        <v>172</v>
      </c>
      <c r="C100" s="14">
        <v>1.56</v>
      </c>
      <c r="D100" s="10">
        <v>2.7290000000000001</v>
      </c>
      <c r="E100" s="12">
        <v>3.86</v>
      </c>
      <c r="F100" s="10">
        <v>2.2389999999999999</v>
      </c>
      <c r="G100" s="10">
        <v>3.919</v>
      </c>
      <c r="H100" s="10">
        <v>5.5430000000000001</v>
      </c>
      <c r="I100" s="12">
        <v>1.56</v>
      </c>
      <c r="J100" s="10">
        <v>2.7290000000000001</v>
      </c>
      <c r="K100" s="12">
        <v>3.86</v>
      </c>
      <c r="L100" s="12">
        <v>7.39</v>
      </c>
      <c r="M100" s="10">
        <v>80.982600000000005</v>
      </c>
      <c r="N100" s="10">
        <v>2.4346000000000001</v>
      </c>
      <c r="O100" s="10">
        <v>-2.2551999999999999</v>
      </c>
      <c r="P100" s="2" t="s">
        <v>59</v>
      </c>
      <c r="Q100" s="20">
        <v>1</v>
      </c>
      <c r="AB100" s="6" t="str">
        <f>'LOCUS PH-G'!$C$4</f>
        <v>LINE 7</v>
      </c>
      <c r="AC100" s="6" t="b">
        <f t="shared" si="3"/>
        <v>0</v>
      </c>
    </row>
    <row r="101" spans="1:29">
      <c r="A101" s="6">
        <v>100</v>
      </c>
      <c r="B101" s="6" t="s">
        <v>173</v>
      </c>
      <c r="C101" s="14">
        <v>1.56</v>
      </c>
      <c r="D101" s="10">
        <v>2.7290000000000001</v>
      </c>
      <c r="E101" s="12">
        <v>3.86</v>
      </c>
      <c r="F101" s="10">
        <v>2.2389999999999999</v>
      </c>
      <c r="G101" s="10">
        <v>3.919</v>
      </c>
      <c r="H101" s="10">
        <v>5.5430000000000001</v>
      </c>
      <c r="I101" s="12">
        <v>1.56</v>
      </c>
      <c r="J101" s="10">
        <v>2.7290000000000001</v>
      </c>
      <c r="K101" s="12">
        <v>3.86</v>
      </c>
      <c r="L101" s="12">
        <v>7.39</v>
      </c>
      <c r="M101" s="10">
        <v>80.982600000000005</v>
      </c>
      <c r="N101" s="10">
        <v>2.4346000000000001</v>
      </c>
      <c r="O101" s="10">
        <v>-2.2551999999999999</v>
      </c>
      <c r="P101" s="2" t="s">
        <v>59</v>
      </c>
      <c r="Q101" s="20">
        <v>1</v>
      </c>
      <c r="AB101" s="6" t="str">
        <f>'LOCUS PH-G'!$C$4</f>
        <v>LINE 7</v>
      </c>
      <c r="AC101" s="6" t="b">
        <f t="shared" si="3"/>
        <v>0</v>
      </c>
    </row>
    <row r="102" spans="1:29">
      <c r="A102" s="6">
        <v>101</v>
      </c>
      <c r="B102" s="6" t="s">
        <v>174</v>
      </c>
      <c r="C102" s="9">
        <v>4.3869999999999996</v>
      </c>
      <c r="D102" s="10">
        <v>6.8040000000000003</v>
      </c>
      <c r="E102" s="10">
        <v>9.1039999999999992</v>
      </c>
      <c r="F102" s="10">
        <v>2.698</v>
      </c>
      <c r="G102" s="10">
        <v>4.1840000000000002</v>
      </c>
      <c r="H102" s="10">
        <v>5.5430000000000001</v>
      </c>
      <c r="I102" s="10">
        <v>4.3869999999999996</v>
      </c>
      <c r="J102" s="10">
        <v>6.8040000000000003</v>
      </c>
      <c r="K102" s="10">
        <v>9.1039999999999992</v>
      </c>
      <c r="L102" s="12">
        <v>7.39</v>
      </c>
      <c r="M102" s="10">
        <v>78.051400000000001</v>
      </c>
      <c r="N102" s="10">
        <v>3.0802</v>
      </c>
      <c r="O102" s="10">
        <v>-1.9092</v>
      </c>
      <c r="P102" s="2" t="s">
        <v>59</v>
      </c>
      <c r="Q102" s="20">
        <v>1</v>
      </c>
      <c r="AB102" s="6" t="str">
        <f>'LOCUS PH-G'!$C$4</f>
        <v>LINE 7</v>
      </c>
      <c r="AC102" s="6" t="b">
        <f t="shared" si="3"/>
        <v>0</v>
      </c>
    </row>
    <row r="103" spans="1:29">
      <c r="A103" s="6">
        <v>102</v>
      </c>
      <c r="B103" s="6" t="s">
        <v>175</v>
      </c>
      <c r="C103" s="9">
        <v>4.3869999999999996</v>
      </c>
      <c r="D103" s="10">
        <v>6.8040000000000003</v>
      </c>
      <c r="E103" s="10">
        <v>9.1039999999999992</v>
      </c>
      <c r="F103" s="10">
        <v>2.698</v>
      </c>
      <c r="G103" s="10">
        <v>4.1840000000000002</v>
      </c>
      <c r="H103" s="10">
        <v>5.5430000000000001</v>
      </c>
      <c r="I103" s="10">
        <v>4.3869999999999996</v>
      </c>
      <c r="J103" s="10">
        <v>6.8040000000000003</v>
      </c>
      <c r="K103" s="10">
        <v>9.1039999999999992</v>
      </c>
      <c r="L103" s="12">
        <v>7.39</v>
      </c>
      <c r="M103" s="10">
        <v>78.051400000000001</v>
      </c>
      <c r="N103" s="10">
        <v>3.0802</v>
      </c>
      <c r="O103" s="10">
        <v>-1.9092</v>
      </c>
      <c r="P103" s="2" t="s">
        <v>59</v>
      </c>
      <c r="Q103" s="20">
        <v>1</v>
      </c>
      <c r="AB103" s="6" t="str">
        <f>'LOCUS PH-G'!$C$4</f>
        <v>LINE 7</v>
      </c>
      <c r="AC103" s="6" t="b">
        <f t="shared" si="3"/>
        <v>0</v>
      </c>
    </row>
    <row r="104" spans="1:29">
      <c r="A104" s="6">
        <v>103</v>
      </c>
      <c r="B104" s="6" t="s">
        <v>176</v>
      </c>
      <c r="C104" s="9">
        <v>9.8170000000000002</v>
      </c>
      <c r="D104" s="12">
        <v>17.18</v>
      </c>
      <c r="E104" s="10">
        <v>24.297999999999998</v>
      </c>
      <c r="F104" s="10">
        <v>11.196999999999999</v>
      </c>
      <c r="G104" s="10">
        <v>19.594999999999999</v>
      </c>
      <c r="H104" s="10">
        <v>27.713000000000001</v>
      </c>
      <c r="I104" s="10">
        <v>9.8170000000000002</v>
      </c>
      <c r="J104" s="12">
        <v>17.18</v>
      </c>
      <c r="K104" s="10">
        <v>24.297999999999998</v>
      </c>
      <c r="L104" s="12">
        <v>36.950000000000003</v>
      </c>
      <c r="M104" s="10">
        <v>78.051400000000001</v>
      </c>
      <c r="N104" s="10">
        <v>3.0802</v>
      </c>
      <c r="O104" s="10">
        <v>-1.9092</v>
      </c>
      <c r="P104" s="2" t="s">
        <v>60</v>
      </c>
      <c r="Q104" s="20">
        <v>1</v>
      </c>
      <c r="AB104" s="6" t="str">
        <f>'LOCUS PH-G'!$C$4</f>
        <v>LINE 7</v>
      </c>
      <c r="AC104" s="6" t="b">
        <f t="shared" si="3"/>
        <v>0</v>
      </c>
    </row>
    <row r="105" spans="1:29">
      <c r="A105" s="6">
        <v>104</v>
      </c>
      <c r="B105" s="6" t="s">
        <v>177</v>
      </c>
      <c r="C105" s="9">
        <v>9.8170000000000002</v>
      </c>
      <c r="D105" s="12">
        <v>17.18</v>
      </c>
      <c r="E105" s="10">
        <v>24.297999999999998</v>
      </c>
      <c r="F105" s="10">
        <v>11.196999999999999</v>
      </c>
      <c r="G105" s="10">
        <v>19.594999999999999</v>
      </c>
      <c r="H105" s="10">
        <v>27.713000000000001</v>
      </c>
      <c r="I105" s="10">
        <v>9.8170000000000002</v>
      </c>
      <c r="J105" s="12">
        <v>17.18</v>
      </c>
      <c r="K105" s="10">
        <v>24.297999999999998</v>
      </c>
      <c r="L105" s="12">
        <v>36.950000000000003</v>
      </c>
      <c r="M105" s="10">
        <v>78.051400000000001</v>
      </c>
      <c r="N105" s="10">
        <v>3.0802</v>
      </c>
      <c r="O105" s="10">
        <v>-1.9092</v>
      </c>
      <c r="P105" s="2" t="s">
        <v>60</v>
      </c>
      <c r="Q105" s="20">
        <v>1</v>
      </c>
      <c r="AB105" s="6" t="str">
        <f>'LOCUS PH-G'!$C$4</f>
        <v>LINE 7</v>
      </c>
      <c r="AC105" s="6" t="b">
        <f t="shared" si="3"/>
        <v>0</v>
      </c>
    </row>
    <row r="106" spans="1:29">
      <c r="A106" s="6">
        <v>105</v>
      </c>
      <c r="B106" s="6" t="s">
        <v>178</v>
      </c>
      <c r="C106" s="2">
        <v>12.27</v>
      </c>
      <c r="D106" s="2">
        <v>20.99</v>
      </c>
      <c r="E106" s="2">
        <v>33.79</v>
      </c>
      <c r="F106" s="2">
        <v>20.05</v>
      </c>
      <c r="G106" s="2">
        <v>32.270000000000003</v>
      </c>
      <c r="H106" s="2">
        <v>51.96</v>
      </c>
      <c r="I106" s="2">
        <v>39.85</v>
      </c>
      <c r="J106" s="2">
        <v>64.17</v>
      </c>
      <c r="K106" s="2">
        <v>103.31</v>
      </c>
      <c r="L106" s="2">
        <v>69.28</v>
      </c>
      <c r="M106" s="10">
        <v>78.051400000000001</v>
      </c>
      <c r="N106" s="10">
        <v>3.0802</v>
      </c>
      <c r="O106" s="10">
        <v>-1.9092</v>
      </c>
      <c r="P106" s="2" t="s">
        <v>60</v>
      </c>
      <c r="Q106" s="20">
        <v>0</v>
      </c>
      <c r="AB106" s="6" t="str">
        <f>'LOCUS PH-G'!$C$4</f>
        <v>LINE 7</v>
      </c>
      <c r="AC106" s="6" t="b">
        <f t="shared" si="3"/>
        <v>0</v>
      </c>
    </row>
    <row r="107" spans="1:29">
      <c r="A107" s="6">
        <v>106</v>
      </c>
      <c r="B107" s="6" t="s">
        <v>179</v>
      </c>
      <c r="C107" s="2">
        <v>12.27</v>
      </c>
      <c r="D107" s="2">
        <v>20.99</v>
      </c>
      <c r="E107" s="2">
        <v>33.79</v>
      </c>
      <c r="F107" s="2">
        <v>20.05</v>
      </c>
      <c r="G107" s="2">
        <v>32.270000000000003</v>
      </c>
      <c r="H107" s="2">
        <v>51.96</v>
      </c>
      <c r="I107" s="2">
        <v>39.85</v>
      </c>
      <c r="J107" s="2">
        <v>64.17</v>
      </c>
      <c r="K107" s="2">
        <v>103.31</v>
      </c>
      <c r="L107" s="2">
        <v>69.28</v>
      </c>
      <c r="M107" s="10">
        <v>78.051400000000001</v>
      </c>
      <c r="N107" s="10">
        <v>3.0802</v>
      </c>
      <c r="O107" s="10">
        <v>-1.9092</v>
      </c>
      <c r="P107" s="2" t="s">
        <v>60</v>
      </c>
      <c r="Q107" s="20">
        <v>0</v>
      </c>
      <c r="AB107" s="6" t="str">
        <f>'LOCUS PH-G'!$C$4</f>
        <v>LINE 7</v>
      </c>
      <c r="AC107" s="6" t="b">
        <f t="shared" si="3"/>
        <v>0</v>
      </c>
    </row>
    <row r="108" spans="1:29">
      <c r="A108" s="6">
        <v>107</v>
      </c>
      <c r="B108" s="6" t="s">
        <v>180</v>
      </c>
      <c r="C108" s="2">
        <v>7.2930000000000001</v>
      </c>
      <c r="D108" s="2">
        <v>16.742999999999999</v>
      </c>
      <c r="E108" s="2">
        <v>33.819000000000003</v>
      </c>
      <c r="F108" s="2">
        <v>5.976</v>
      </c>
      <c r="G108" s="2">
        <v>13.72</v>
      </c>
      <c r="H108" s="2">
        <v>27.713000000000001</v>
      </c>
      <c r="I108" s="2">
        <v>7.2930000000000001</v>
      </c>
      <c r="J108" s="2">
        <v>16.742999999999999</v>
      </c>
      <c r="K108" s="2">
        <v>33.819000000000003</v>
      </c>
      <c r="L108" s="2">
        <v>36.950000000000003</v>
      </c>
      <c r="M108" s="2">
        <v>78.051400000000001</v>
      </c>
      <c r="N108" s="19">
        <v>3.08026</v>
      </c>
      <c r="O108" s="2">
        <v>-1.90923</v>
      </c>
      <c r="P108" s="2" t="s">
        <v>60</v>
      </c>
      <c r="Q108" s="20">
        <v>1</v>
      </c>
      <c r="AB108" s="6" t="str">
        <f>'LOCUS PH-G'!$C$4</f>
        <v>LINE 7</v>
      </c>
      <c r="AC108" s="6" t="b">
        <f t="shared" si="3"/>
        <v>0</v>
      </c>
    </row>
    <row r="109" spans="1:29">
      <c r="A109" s="6">
        <v>108</v>
      </c>
      <c r="B109" s="6" t="s">
        <v>181</v>
      </c>
      <c r="C109" s="2">
        <v>7.2930000000000001</v>
      </c>
      <c r="D109" s="2">
        <v>16.742999999999999</v>
      </c>
      <c r="E109" s="2">
        <v>33.819000000000003</v>
      </c>
      <c r="F109" s="2">
        <v>5.976</v>
      </c>
      <c r="G109" s="2">
        <v>13.72</v>
      </c>
      <c r="H109" s="2">
        <v>27.713000000000001</v>
      </c>
      <c r="I109" s="2">
        <v>7.2930000000000001</v>
      </c>
      <c r="J109" s="2">
        <v>16.742999999999999</v>
      </c>
      <c r="K109" s="2">
        <v>33.819000000000003</v>
      </c>
      <c r="L109" s="2">
        <v>36.950000000000003</v>
      </c>
      <c r="M109" s="2">
        <v>78.051400000000001</v>
      </c>
      <c r="N109" s="19">
        <v>3.08026</v>
      </c>
      <c r="O109" s="2">
        <v>-1.90923</v>
      </c>
      <c r="P109" s="2" t="s">
        <v>60</v>
      </c>
      <c r="Q109" s="20">
        <v>1</v>
      </c>
      <c r="AB109" s="6" t="str">
        <f>'LOCUS PH-G'!$C$4</f>
        <v>LINE 7</v>
      </c>
      <c r="AC109" s="6" t="b">
        <f t="shared" si="3"/>
        <v>0</v>
      </c>
    </row>
    <row r="110" spans="1:29">
      <c r="A110" s="6">
        <v>109</v>
      </c>
      <c r="B110" s="58" t="s">
        <v>182</v>
      </c>
      <c r="C110" s="2">
        <v>12.687499999999998</v>
      </c>
      <c r="D110" s="2">
        <v>19</v>
      </c>
      <c r="E110" s="2">
        <v>25.374999999999996</v>
      </c>
      <c r="F110" s="2">
        <v>17.3125</v>
      </c>
      <c r="G110" s="2">
        <v>26</v>
      </c>
      <c r="H110" s="2">
        <v>34.625</v>
      </c>
      <c r="I110" s="2">
        <v>12.687499999999998</v>
      </c>
      <c r="J110" s="2">
        <v>19</v>
      </c>
      <c r="K110" s="2">
        <v>25.374999999999996</v>
      </c>
      <c r="L110" s="2">
        <v>46.1875</v>
      </c>
      <c r="M110" s="2">
        <v>75</v>
      </c>
      <c r="N110" s="19">
        <v>6.181</v>
      </c>
      <c r="O110" s="2">
        <v>-2.5499999999999998</v>
      </c>
      <c r="P110" s="2" t="s">
        <v>60</v>
      </c>
      <c r="Q110" s="20">
        <v>0</v>
      </c>
      <c r="AB110" s="6" t="str">
        <f>'LOCUS PH-G'!$C$4</f>
        <v>LINE 7</v>
      </c>
      <c r="AC110" s="6" t="b">
        <f t="shared" si="3"/>
        <v>0</v>
      </c>
    </row>
    <row r="111" spans="1:29">
      <c r="A111" s="6">
        <v>110</v>
      </c>
      <c r="B111" s="58" t="s">
        <v>183</v>
      </c>
      <c r="C111" s="2">
        <v>12.687499999999998</v>
      </c>
      <c r="D111" s="2">
        <v>19</v>
      </c>
      <c r="E111" s="2">
        <v>25.374999999999996</v>
      </c>
      <c r="F111" s="2">
        <v>17.3125</v>
      </c>
      <c r="G111" s="2">
        <v>26</v>
      </c>
      <c r="H111" s="2">
        <v>34.625</v>
      </c>
      <c r="I111" s="2">
        <v>12.687499999999998</v>
      </c>
      <c r="J111" s="2">
        <v>19</v>
      </c>
      <c r="K111" s="2">
        <v>25.374999999999996</v>
      </c>
      <c r="L111" s="2">
        <v>46.1875</v>
      </c>
      <c r="M111" s="2">
        <v>75</v>
      </c>
      <c r="N111" s="19">
        <v>6.181</v>
      </c>
      <c r="O111" s="2">
        <v>-2.5499999999999998</v>
      </c>
      <c r="P111" s="2" t="s">
        <v>60</v>
      </c>
      <c r="Q111" s="20">
        <v>0</v>
      </c>
      <c r="AB111" s="6" t="str">
        <f>'LOCUS PH-G'!$C$4</f>
        <v>LINE 7</v>
      </c>
      <c r="AC111" s="6" t="b">
        <f t="shared" si="3"/>
        <v>0</v>
      </c>
    </row>
    <row r="112" spans="1:29">
      <c r="A112" s="6">
        <v>111</v>
      </c>
      <c r="B112" s="6" t="s">
        <v>184</v>
      </c>
      <c r="C112" s="2">
        <v>3.0110000000000001</v>
      </c>
      <c r="D112" s="2">
        <v>5.29</v>
      </c>
      <c r="E112" s="2">
        <v>7.5060000000000002</v>
      </c>
      <c r="F112" s="2">
        <v>2.2240000000000002</v>
      </c>
      <c r="G112" s="2">
        <v>3.9060000000000001</v>
      </c>
      <c r="H112" s="2">
        <v>5.5442999999999998</v>
      </c>
      <c r="I112" s="2">
        <v>3.0110000000000001</v>
      </c>
      <c r="J112" s="2">
        <v>5.29</v>
      </c>
      <c r="K112" s="2">
        <v>7.5060000000000002</v>
      </c>
      <c r="L112" s="2">
        <v>7.39</v>
      </c>
      <c r="M112" s="2">
        <v>78.051400000000001</v>
      </c>
      <c r="N112" s="19">
        <v>3.08026</v>
      </c>
      <c r="O112" s="2">
        <v>-1.90923</v>
      </c>
      <c r="P112" s="2" t="s">
        <v>59</v>
      </c>
      <c r="Q112" s="20">
        <v>1</v>
      </c>
      <c r="AB112" s="6" t="str">
        <f>'LOCUS PH-G'!$C$4</f>
        <v>LINE 7</v>
      </c>
      <c r="AC112" s="6" t="b">
        <f t="shared" si="3"/>
        <v>0</v>
      </c>
    </row>
    <row r="113" spans="1:29">
      <c r="A113" s="6">
        <v>112</v>
      </c>
      <c r="B113" s="58" t="s">
        <v>185</v>
      </c>
      <c r="C113" s="2">
        <v>16.0625</v>
      </c>
      <c r="D113" s="2">
        <v>28.112499999999997</v>
      </c>
      <c r="E113" s="2">
        <v>39.762499999999996</v>
      </c>
      <c r="F113" s="2">
        <v>13.999999999999998</v>
      </c>
      <c r="G113" s="2">
        <v>24.487499999999997</v>
      </c>
      <c r="H113" s="2">
        <v>34.637499999999996</v>
      </c>
      <c r="I113" s="2">
        <v>16.0625</v>
      </c>
      <c r="J113" s="2">
        <v>28.112499999999997</v>
      </c>
      <c r="K113" s="2">
        <v>39.762499999999996</v>
      </c>
      <c r="L113" s="2">
        <v>49.9375</v>
      </c>
      <c r="M113" s="2">
        <v>75</v>
      </c>
      <c r="N113" s="19">
        <v>6.181</v>
      </c>
      <c r="O113" s="2">
        <v>-2.5499999999999998</v>
      </c>
      <c r="P113" s="2" t="s">
        <v>60</v>
      </c>
      <c r="Q113" s="20">
        <v>0</v>
      </c>
      <c r="AB113" s="6" t="str">
        <f>'LOCUS PH-G'!$C$4</f>
        <v>LINE 7</v>
      </c>
      <c r="AC113" s="6" t="b">
        <f t="shared" si="3"/>
        <v>0</v>
      </c>
    </row>
    <row r="114" spans="1:29">
      <c r="A114" s="6">
        <v>113</v>
      </c>
      <c r="B114" s="58" t="s">
        <v>186</v>
      </c>
      <c r="C114" s="2">
        <v>16.0625</v>
      </c>
      <c r="D114" s="2">
        <v>28.112499999999997</v>
      </c>
      <c r="E114" s="2">
        <v>39.762499999999996</v>
      </c>
      <c r="F114" s="2">
        <v>13.999999999999998</v>
      </c>
      <c r="G114" s="2">
        <v>24.487499999999997</v>
      </c>
      <c r="H114" s="2">
        <v>34.637499999999996</v>
      </c>
      <c r="I114" s="2">
        <v>16.0625</v>
      </c>
      <c r="J114" s="2">
        <v>28.112499999999997</v>
      </c>
      <c r="K114" s="2">
        <v>39.762499999999996</v>
      </c>
      <c r="L114" s="2">
        <v>49.9375</v>
      </c>
      <c r="M114" s="2">
        <v>75</v>
      </c>
      <c r="N114" s="19">
        <v>6.181</v>
      </c>
      <c r="O114" s="2">
        <v>-2.5499999999999998</v>
      </c>
      <c r="P114" s="2" t="s">
        <v>60</v>
      </c>
      <c r="Q114" s="20">
        <v>0</v>
      </c>
      <c r="S114" t="s">
        <v>61</v>
      </c>
      <c r="AB114" s="6" t="str">
        <f>'LOCUS PH-G'!$C$4</f>
        <v>LINE 7</v>
      </c>
      <c r="AC114" s="6" t="b">
        <f t="shared" si="3"/>
        <v>0</v>
      </c>
    </row>
    <row r="115" spans="1:29">
      <c r="A115" s="6">
        <v>114</v>
      </c>
      <c r="B115" s="58" t="s">
        <v>187</v>
      </c>
      <c r="C115" s="2">
        <v>11.45</v>
      </c>
      <c r="D115" s="2">
        <v>18.45</v>
      </c>
      <c r="E115" s="2">
        <v>24.1</v>
      </c>
      <c r="F115" s="2">
        <v>13.149999999999999</v>
      </c>
      <c r="G115" s="2">
        <v>21.25</v>
      </c>
      <c r="H115" s="2">
        <v>27.7</v>
      </c>
      <c r="I115" s="2">
        <v>11.45</v>
      </c>
      <c r="J115" s="2">
        <v>18.45</v>
      </c>
      <c r="K115" s="2">
        <v>24.1</v>
      </c>
      <c r="L115" s="2">
        <v>36.449999999999996</v>
      </c>
      <c r="M115" s="2">
        <v>78</v>
      </c>
      <c r="N115" s="19">
        <v>3.08</v>
      </c>
      <c r="O115" s="2">
        <v>-1.909</v>
      </c>
      <c r="P115" s="2" t="s">
        <v>59</v>
      </c>
      <c r="Q115" s="20">
        <v>1</v>
      </c>
      <c r="AB115" s="6" t="str">
        <f>'LOCUS PH-G'!$C$4</f>
        <v>LINE 7</v>
      </c>
      <c r="AC115" s="6" t="b">
        <f t="shared" si="3"/>
        <v>0</v>
      </c>
    </row>
    <row r="116" spans="1:29">
      <c r="A116" s="6">
        <v>115</v>
      </c>
      <c r="B116" s="6" t="s">
        <v>188</v>
      </c>
      <c r="C116" s="2">
        <v>5.41</v>
      </c>
      <c r="D116" s="2">
        <v>8.1199999999999992</v>
      </c>
      <c r="E116" s="2">
        <v>10.83</v>
      </c>
      <c r="F116" s="2">
        <v>3.05</v>
      </c>
      <c r="G116" s="2">
        <v>4.57</v>
      </c>
      <c r="H116" s="2">
        <v>6.1</v>
      </c>
      <c r="I116" s="2">
        <v>5.41</v>
      </c>
      <c r="J116" s="2">
        <v>8.1199999999999992</v>
      </c>
      <c r="K116" s="2">
        <v>10.83</v>
      </c>
      <c r="L116" s="2">
        <v>8.1289999999999996</v>
      </c>
      <c r="M116" s="2">
        <v>76</v>
      </c>
      <c r="N116" s="2">
        <v>2.976</v>
      </c>
      <c r="O116" s="2">
        <v>2.0640000000000001</v>
      </c>
      <c r="P116" s="2" t="s">
        <v>59</v>
      </c>
      <c r="Q116" s="20">
        <v>0</v>
      </c>
      <c r="AB116" s="6" t="str">
        <f>'LOCUS PH-G'!$C$4</f>
        <v>LINE 7</v>
      </c>
      <c r="AC116" s="6" t="b">
        <f t="shared" si="3"/>
        <v>0</v>
      </c>
    </row>
    <row r="117" spans="1:29">
      <c r="A117" s="6">
        <v>116</v>
      </c>
      <c r="B117" s="6" t="s">
        <v>189</v>
      </c>
      <c r="C117" s="2">
        <v>23.111000000000001</v>
      </c>
      <c r="D117" s="2">
        <v>30.265999999999998</v>
      </c>
      <c r="E117" s="2">
        <v>46.222999999999999</v>
      </c>
      <c r="F117" s="2">
        <v>13.856</v>
      </c>
      <c r="G117" s="2">
        <v>18.146000000000001</v>
      </c>
      <c r="H117" s="2">
        <v>27.713000000000001</v>
      </c>
      <c r="I117" s="2">
        <v>23.111000000000001</v>
      </c>
      <c r="J117" s="2">
        <v>30.265999999999998</v>
      </c>
      <c r="K117" s="2">
        <v>46.222999999999999</v>
      </c>
      <c r="L117" s="2">
        <v>36.950000000000003</v>
      </c>
      <c r="M117" s="2">
        <v>53.415599999999998</v>
      </c>
      <c r="N117" s="2">
        <v>4.1399999999999997</v>
      </c>
      <c r="O117" s="2">
        <v>26.596</v>
      </c>
      <c r="P117" s="2" t="s">
        <v>60</v>
      </c>
      <c r="Q117" s="20">
        <v>0</v>
      </c>
      <c r="AB117" s="6" t="str">
        <f>'LOCUS PH-G'!$C$4</f>
        <v>LINE 7</v>
      </c>
      <c r="AC117" s="6" t="b">
        <f t="shared" si="3"/>
        <v>0</v>
      </c>
    </row>
    <row r="118" spans="1:29">
      <c r="A118" s="6">
        <v>117</v>
      </c>
      <c r="B118" s="6" t="s">
        <v>190</v>
      </c>
      <c r="C118" s="2">
        <v>7.9180000000000001</v>
      </c>
      <c r="D118" s="2">
        <v>15.374000000000001</v>
      </c>
      <c r="E118" s="2">
        <v>23.693000000000001</v>
      </c>
      <c r="F118" s="2">
        <v>9.2620000000000005</v>
      </c>
      <c r="G118" s="2">
        <v>17.981999999999999</v>
      </c>
      <c r="H118" s="2">
        <v>27.713000000000001</v>
      </c>
      <c r="I118" s="2">
        <v>7.9180000000000001</v>
      </c>
      <c r="J118" s="2">
        <v>15.374000000000001</v>
      </c>
      <c r="K118" s="2">
        <v>23.693000000000001</v>
      </c>
      <c r="L118" s="2">
        <v>36.950000000000003</v>
      </c>
      <c r="M118" s="2">
        <v>53.415599999999998</v>
      </c>
      <c r="N118" s="2">
        <v>4.1399999999999997</v>
      </c>
      <c r="O118" s="2">
        <v>26.596</v>
      </c>
      <c r="P118" s="2" t="s">
        <v>60</v>
      </c>
      <c r="Q118" s="20">
        <v>0</v>
      </c>
      <c r="AB118" s="6" t="str">
        <f>'LOCUS PH-G'!$C$4</f>
        <v>LINE 7</v>
      </c>
      <c r="AC118" s="6" t="b">
        <f t="shared" si="3"/>
        <v>0</v>
      </c>
    </row>
    <row r="119" spans="1:29">
      <c r="A119" s="6">
        <v>118</v>
      </c>
      <c r="B119" s="6" t="s">
        <v>191</v>
      </c>
      <c r="C119" s="2">
        <v>7.9180000000000001</v>
      </c>
      <c r="D119" s="2">
        <v>15.374000000000001</v>
      </c>
      <c r="E119" s="2">
        <v>23.693000000000001</v>
      </c>
      <c r="F119" s="2">
        <v>9.2620000000000005</v>
      </c>
      <c r="G119" s="2">
        <v>17.981999999999999</v>
      </c>
      <c r="H119" s="2">
        <v>27.713000000000001</v>
      </c>
      <c r="I119" s="2">
        <v>7.9180000000000001</v>
      </c>
      <c r="J119" s="2">
        <v>15.374000000000001</v>
      </c>
      <c r="K119" s="2">
        <v>23.693000000000001</v>
      </c>
      <c r="L119" s="2">
        <v>36.950000000000003</v>
      </c>
      <c r="M119" s="2">
        <v>53.415599999999998</v>
      </c>
      <c r="N119" s="2">
        <v>4.1399999999999997</v>
      </c>
      <c r="O119" s="2">
        <v>26.596</v>
      </c>
      <c r="P119" s="2" t="s">
        <v>60</v>
      </c>
      <c r="Q119" s="20">
        <v>0</v>
      </c>
      <c r="AB119" s="6" t="str">
        <f>'LOCUS PH-G'!$C$4</f>
        <v>LINE 7</v>
      </c>
      <c r="AC119" s="6" t="b">
        <f t="shared" si="3"/>
        <v>0</v>
      </c>
    </row>
    <row r="120" spans="1:29">
      <c r="A120" s="6">
        <v>119</v>
      </c>
      <c r="B120" s="58" t="s">
        <v>192</v>
      </c>
      <c r="C120" s="2">
        <v>12.687499999999998</v>
      </c>
      <c r="D120" s="2">
        <v>21.8125</v>
      </c>
      <c r="E120" s="2">
        <v>35.375</v>
      </c>
      <c r="F120" s="2">
        <v>12.4375</v>
      </c>
      <c r="G120" s="2">
        <v>21.3125</v>
      </c>
      <c r="H120" s="2">
        <v>34.625</v>
      </c>
      <c r="I120" s="2">
        <v>12.687499999999998</v>
      </c>
      <c r="J120" s="2">
        <v>21.8125</v>
      </c>
      <c r="K120" s="2">
        <v>35.375</v>
      </c>
      <c r="L120" s="2">
        <v>46.1875</v>
      </c>
      <c r="M120" s="2">
        <v>75</v>
      </c>
      <c r="N120" s="2">
        <v>6.181</v>
      </c>
      <c r="O120" s="2">
        <v>-2.5499999999999998</v>
      </c>
      <c r="P120" s="2" t="s">
        <v>60</v>
      </c>
      <c r="Q120" s="20">
        <v>0</v>
      </c>
      <c r="AB120" s="6" t="str">
        <f>'LOCUS PH-G'!$C$4</f>
        <v>LINE 7</v>
      </c>
      <c r="AC120" s="6" t="b">
        <f t="shared" si="3"/>
        <v>0</v>
      </c>
    </row>
    <row r="121" spans="1:29">
      <c r="A121" s="6">
        <v>120</v>
      </c>
      <c r="B121" s="58" t="s">
        <v>193</v>
      </c>
      <c r="C121" s="2">
        <v>12.687499999999998</v>
      </c>
      <c r="D121" s="2">
        <v>21.8125</v>
      </c>
      <c r="E121" s="2">
        <v>35.375</v>
      </c>
      <c r="F121" s="2">
        <v>12.4375</v>
      </c>
      <c r="G121" s="2">
        <v>21.3125</v>
      </c>
      <c r="H121" s="2">
        <v>34.625</v>
      </c>
      <c r="I121" s="2">
        <v>12.687499999999998</v>
      </c>
      <c r="J121" s="2">
        <v>21.8125</v>
      </c>
      <c r="K121" s="2">
        <v>35.375</v>
      </c>
      <c r="L121" s="2">
        <v>46.1875</v>
      </c>
      <c r="M121" s="2">
        <v>75</v>
      </c>
      <c r="N121" s="2">
        <v>6.181</v>
      </c>
      <c r="O121" s="2">
        <v>-2.5499999999999998</v>
      </c>
      <c r="P121" s="2" t="s">
        <v>60</v>
      </c>
      <c r="Q121" s="20">
        <v>0</v>
      </c>
      <c r="AB121" s="6" t="str">
        <f>'LOCUS PH-G'!$C$4</f>
        <v>LINE 7</v>
      </c>
      <c r="AC121" s="6" t="b">
        <f t="shared" si="3"/>
        <v>0</v>
      </c>
    </row>
    <row r="122" spans="1:29">
      <c r="A122" s="6">
        <v>121</v>
      </c>
      <c r="B122" s="6" t="s">
        <v>194</v>
      </c>
      <c r="C122" s="2">
        <v>27.05</v>
      </c>
      <c r="D122" s="2">
        <v>40.6</v>
      </c>
      <c r="E122" s="2">
        <v>54.15</v>
      </c>
      <c r="F122" s="2">
        <v>15.25</v>
      </c>
      <c r="G122" s="2">
        <v>22.85</v>
      </c>
      <c r="H122" s="2">
        <v>30.5</v>
      </c>
      <c r="I122" s="2">
        <v>27.05</v>
      </c>
      <c r="J122" s="2">
        <v>40.6</v>
      </c>
      <c r="K122" s="2">
        <v>54.15</v>
      </c>
      <c r="L122" s="2">
        <v>40.645000000000003</v>
      </c>
      <c r="M122" s="2">
        <v>76</v>
      </c>
      <c r="N122" s="2">
        <v>2.976</v>
      </c>
      <c r="O122" s="2">
        <v>2.0640000000000001</v>
      </c>
      <c r="P122" s="2" t="s">
        <v>60</v>
      </c>
      <c r="Q122" s="20">
        <v>0</v>
      </c>
      <c r="AB122" s="6" t="str">
        <f>'LOCUS PH-G'!$C$4</f>
        <v>LINE 7</v>
      </c>
      <c r="AC122" s="6" t="b">
        <f t="shared" si="3"/>
        <v>0</v>
      </c>
    </row>
    <row r="123" spans="1:29">
      <c r="A123" s="6">
        <v>122</v>
      </c>
      <c r="B123" s="6" t="s">
        <v>195</v>
      </c>
      <c r="C123" s="2">
        <v>1.77</v>
      </c>
      <c r="D123" s="2">
        <v>9.6300000000000008</v>
      </c>
      <c r="E123" s="2">
        <v>22.032</v>
      </c>
      <c r="F123" s="2">
        <v>2.2200000000000002</v>
      </c>
      <c r="G123" s="2">
        <v>12.12</v>
      </c>
      <c r="H123" s="2">
        <v>27.713000000000001</v>
      </c>
      <c r="I123" s="2">
        <v>1.77</v>
      </c>
      <c r="J123" s="2">
        <v>9.6300000000000008</v>
      </c>
      <c r="K123" s="2">
        <v>22.032</v>
      </c>
      <c r="L123" s="2">
        <v>36.950000000000003</v>
      </c>
      <c r="M123" s="2">
        <v>53.415599999999998</v>
      </c>
      <c r="N123" s="2">
        <v>4.1397000000000004</v>
      </c>
      <c r="O123" s="2">
        <v>26.595500000000001</v>
      </c>
      <c r="P123" s="2" t="s">
        <v>60</v>
      </c>
      <c r="Q123" s="20">
        <v>0</v>
      </c>
      <c r="AB123" s="6" t="str">
        <f>'LOCUS PH-G'!$C$4</f>
        <v>LINE 7</v>
      </c>
      <c r="AC123" s="6" t="b">
        <f t="shared" si="3"/>
        <v>0</v>
      </c>
    </row>
    <row r="124" spans="1:29">
      <c r="A124" s="6">
        <v>123</v>
      </c>
      <c r="B124" s="6" t="s">
        <v>196</v>
      </c>
      <c r="C124" s="2">
        <v>7.85</v>
      </c>
      <c r="D124" s="2">
        <v>13.73</v>
      </c>
      <c r="E124" s="2">
        <v>23.55</v>
      </c>
      <c r="F124" s="2">
        <v>9.24</v>
      </c>
      <c r="G124" s="2">
        <v>16.170000000000002</v>
      </c>
      <c r="H124" s="2">
        <v>27.71</v>
      </c>
      <c r="I124" s="2">
        <v>7.85</v>
      </c>
      <c r="J124" s="2">
        <v>13.73</v>
      </c>
      <c r="K124" s="2">
        <v>23.55</v>
      </c>
      <c r="L124" s="2">
        <v>36.950000000000003</v>
      </c>
      <c r="M124" s="2">
        <v>78.051400000000001</v>
      </c>
      <c r="N124" s="2">
        <v>3.08026</v>
      </c>
      <c r="O124" s="2">
        <v>-1.90923</v>
      </c>
      <c r="P124" s="2" t="s">
        <v>60</v>
      </c>
      <c r="Q124" s="20">
        <v>0</v>
      </c>
      <c r="AB124" s="6" t="str">
        <f>'LOCUS PH-G'!$C$4</f>
        <v>LINE 7</v>
      </c>
      <c r="AC124" s="6" t="b">
        <f t="shared" si="3"/>
        <v>0</v>
      </c>
    </row>
    <row r="125" spans="1:29">
      <c r="A125" s="6">
        <v>124</v>
      </c>
      <c r="B125" s="6" t="s">
        <v>197</v>
      </c>
      <c r="C125" s="2">
        <v>21.28</v>
      </c>
      <c r="D125" s="2">
        <v>30.25</v>
      </c>
      <c r="E125" s="2">
        <v>42.85</v>
      </c>
      <c r="F125" s="2">
        <v>13.77</v>
      </c>
      <c r="G125" s="2">
        <v>19.559999999999999</v>
      </c>
      <c r="H125" s="2">
        <v>27.71</v>
      </c>
      <c r="I125" s="2">
        <v>21.28</v>
      </c>
      <c r="J125" s="2">
        <v>30.25</v>
      </c>
      <c r="K125" s="2">
        <v>42.85</v>
      </c>
      <c r="L125" s="2">
        <v>36.950000000000003</v>
      </c>
      <c r="M125" s="2">
        <v>78.051400000000001</v>
      </c>
      <c r="N125" s="2">
        <v>3.08026</v>
      </c>
      <c r="O125" s="2">
        <v>-1.90923</v>
      </c>
      <c r="P125" s="2" t="s">
        <v>60</v>
      </c>
      <c r="Q125" s="20">
        <v>0</v>
      </c>
      <c r="AB125" s="6" t="str">
        <f>'LOCUS PH-G'!$C$4</f>
        <v>LINE 7</v>
      </c>
      <c r="AC125" s="6" t="b">
        <f t="shared" si="3"/>
        <v>0</v>
      </c>
    </row>
    <row r="126" spans="1:29">
      <c r="A126" s="6">
        <v>125</v>
      </c>
      <c r="B126" s="6" t="s">
        <v>198</v>
      </c>
      <c r="C126" s="2">
        <v>7.8490000000000002</v>
      </c>
      <c r="D126" s="2">
        <v>20.452999999999999</v>
      </c>
      <c r="E126" s="2">
        <v>37.563000000000002</v>
      </c>
      <c r="F126" s="2">
        <v>5.79</v>
      </c>
      <c r="G126" s="2">
        <v>15.089</v>
      </c>
      <c r="H126" s="2">
        <v>27.713000000000001</v>
      </c>
      <c r="I126" s="2">
        <v>7.8490000000000002</v>
      </c>
      <c r="J126" s="2">
        <v>20.452999999999999</v>
      </c>
      <c r="K126" s="2">
        <v>37.563000000000002</v>
      </c>
      <c r="L126" s="2">
        <v>36.950000000000003</v>
      </c>
      <c r="M126" s="2">
        <v>78.051400000000001</v>
      </c>
      <c r="N126" s="2">
        <v>3.08026</v>
      </c>
      <c r="O126" s="2">
        <v>-1.90923</v>
      </c>
      <c r="P126" s="2" t="s">
        <v>60</v>
      </c>
      <c r="Q126" s="20">
        <v>0</v>
      </c>
      <c r="AB126" s="6" t="str">
        <f>'LOCUS PH-G'!$C$4</f>
        <v>LINE 7</v>
      </c>
      <c r="AC126" s="6" t="b">
        <f t="shared" si="3"/>
        <v>0</v>
      </c>
    </row>
    <row r="127" spans="1:29">
      <c r="A127" s="6">
        <v>126</v>
      </c>
      <c r="B127" s="6" t="s">
        <v>199</v>
      </c>
      <c r="C127" s="2">
        <v>30.567</v>
      </c>
      <c r="D127" s="2">
        <v>41.85</v>
      </c>
      <c r="E127" s="2">
        <v>61.134</v>
      </c>
      <c r="F127" s="2">
        <v>13.856</v>
      </c>
      <c r="G127" s="2">
        <v>18.971</v>
      </c>
      <c r="H127" s="2">
        <v>27.713000000000001</v>
      </c>
      <c r="I127" s="2">
        <v>30.567</v>
      </c>
      <c r="J127" s="2">
        <v>41.85</v>
      </c>
      <c r="K127" s="2">
        <v>61.134</v>
      </c>
      <c r="L127" s="2">
        <v>36.950000000000003</v>
      </c>
      <c r="M127" s="2">
        <v>78.051400000000001</v>
      </c>
      <c r="N127" s="2">
        <v>3.08026</v>
      </c>
      <c r="O127" s="2">
        <v>-1.90923</v>
      </c>
      <c r="P127" s="2" t="s">
        <v>60</v>
      </c>
      <c r="Q127" s="20">
        <v>0</v>
      </c>
      <c r="AB127" s="6" t="str">
        <f>'LOCUS PH-G'!$C$4</f>
        <v>LINE 7</v>
      </c>
      <c r="AC127" s="6" t="b">
        <f t="shared" si="3"/>
        <v>0</v>
      </c>
    </row>
    <row r="128" spans="1:29">
      <c r="A128" s="6">
        <v>127</v>
      </c>
      <c r="B128" s="6" t="s">
        <v>200</v>
      </c>
      <c r="C128" s="2">
        <v>15.057</v>
      </c>
      <c r="D128" s="2">
        <v>24.695</v>
      </c>
      <c r="E128" s="2">
        <v>40.655999999999999</v>
      </c>
      <c r="F128" s="2">
        <v>10.263</v>
      </c>
      <c r="G128" s="2">
        <v>16.832999999999998</v>
      </c>
      <c r="H128" s="2">
        <v>27.713000000000001</v>
      </c>
      <c r="I128" s="2">
        <v>15.057</v>
      </c>
      <c r="J128" s="2">
        <v>24.695</v>
      </c>
      <c r="K128" s="2">
        <v>40.655999999999999</v>
      </c>
      <c r="L128" s="2">
        <v>36.950000000000003</v>
      </c>
      <c r="M128" s="2">
        <v>78.051400000000001</v>
      </c>
      <c r="N128" s="2">
        <v>3.08026</v>
      </c>
      <c r="O128" s="2">
        <v>-1.90923</v>
      </c>
      <c r="P128" s="2" t="s">
        <v>60</v>
      </c>
      <c r="Q128" s="20">
        <v>0</v>
      </c>
      <c r="AB128" s="6" t="str">
        <f>'LOCUS PH-G'!$C$4</f>
        <v>LINE 7</v>
      </c>
      <c r="AC128" s="6" t="b">
        <f t="shared" si="3"/>
        <v>0</v>
      </c>
    </row>
    <row r="129" spans="1:29">
      <c r="A129" s="6">
        <v>128</v>
      </c>
      <c r="B129" s="6" t="s">
        <v>201</v>
      </c>
      <c r="C129" s="2">
        <v>15.253</v>
      </c>
      <c r="D129" s="2">
        <v>23.690999999999999</v>
      </c>
      <c r="E129" s="2">
        <v>38.700000000000003</v>
      </c>
      <c r="F129" s="2">
        <v>12.51</v>
      </c>
      <c r="G129" s="2">
        <v>18.62</v>
      </c>
      <c r="H129" s="2">
        <v>27.713000000000001</v>
      </c>
      <c r="I129" s="2">
        <v>15.253</v>
      </c>
      <c r="J129" s="2">
        <v>23.690999999999999</v>
      </c>
      <c r="K129" s="2">
        <v>38.700000000000003</v>
      </c>
      <c r="L129" s="2">
        <v>36.950000000000003</v>
      </c>
      <c r="M129" s="2">
        <v>78.051400000000001</v>
      </c>
      <c r="N129" s="2">
        <v>3.08026</v>
      </c>
      <c r="O129" s="2">
        <v>-1.90923</v>
      </c>
      <c r="P129" s="2" t="s">
        <v>60</v>
      </c>
      <c r="Q129" s="20">
        <v>0</v>
      </c>
      <c r="AB129" s="6" t="str">
        <f>'LOCUS PH-G'!$C$4</f>
        <v>LINE 7</v>
      </c>
      <c r="AC129" s="6" t="b">
        <f t="shared" si="3"/>
        <v>0</v>
      </c>
    </row>
    <row r="130" spans="1:29">
      <c r="A130" s="6">
        <v>129</v>
      </c>
      <c r="B130" s="6" t="s">
        <v>202</v>
      </c>
      <c r="C130" s="2">
        <v>4.8550000000000004</v>
      </c>
      <c r="D130" s="2">
        <v>8.4960000000000004</v>
      </c>
      <c r="E130" s="2">
        <v>12.016</v>
      </c>
      <c r="F130" s="2">
        <v>11.196999999999999</v>
      </c>
      <c r="G130" s="2">
        <v>19.594999999999999</v>
      </c>
      <c r="H130" s="2">
        <v>27.713000000000001</v>
      </c>
      <c r="I130" s="2">
        <v>4.8550000000000004</v>
      </c>
      <c r="J130" s="2">
        <v>8.4960000000000004</v>
      </c>
      <c r="K130" s="2">
        <v>12.016</v>
      </c>
      <c r="L130" s="2">
        <v>36.950000000000003</v>
      </c>
      <c r="M130" s="2">
        <v>78.051400000000001</v>
      </c>
      <c r="N130" s="2">
        <v>3.08026</v>
      </c>
      <c r="O130" s="2">
        <v>-1.90923</v>
      </c>
      <c r="P130" s="2" t="s">
        <v>60</v>
      </c>
      <c r="Q130" s="20">
        <v>0</v>
      </c>
      <c r="AB130" s="6" t="str">
        <f>'LOCUS PH-G'!$C$4</f>
        <v>LINE 7</v>
      </c>
      <c r="AC130" s="6" t="b">
        <f t="shared" si="3"/>
        <v>0</v>
      </c>
    </row>
    <row r="131" spans="1:29">
      <c r="A131" s="6">
        <v>130</v>
      </c>
      <c r="B131" s="6" t="s">
        <v>203</v>
      </c>
      <c r="C131" s="2">
        <v>4.8550000000000004</v>
      </c>
      <c r="D131" s="2">
        <v>8.4960000000000004</v>
      </c>
      <c r="E131" s="2">
        <v>12.016</v>
      </c>
      <c r="F131" s="2">
        <v>11.196999999999999</v>
      </c>
      <c r="G131" s="2">
        <v>19.594999999999999</v>
      </c>
      <c r="H131" s="2">
        <v>27.713000000000001</v>
      </c>
      <c r="I131" s="2">
        <v>4.8550000000000004</v>
      </c>
      <c r="J131" s="2">
        <v>8.4960000000000004</v>
      </c>
      <c r="K131" s="2">
        <v>12.016</v>
      </c>
      <c r="L131" s="2">
        <v>36.950000000000003</v>
      </c>
      <c r="M131" s="2">
        <v>78.051400000000001</v>
      </c>
      <c r="N131" s="2">
        <v>3.08026</v>
      </c>
      <c r="O131" s="2">
        <v>-1.90923</v>
      </c>
      <c r="P131" s="2" t="s">
        <v>60</v>
      </c>
      <c r="Q131" s="20">
        <v>0</v>
      </c>
      <c r="AB131" s="6" t="str">
        <f>'LOCUS PH-G'!$C$4</f>
        <v>LINE 7</v>
      </c>
      <c r="AC131" s="6" t="b">
        <f t="shared" si="3"/>
        <v>0</v>
      </c>
    </row>
    <row r="132" spans="1:29">
      <c r="A132" s="6">
        <v>131</v>
      </c>
      <c r="B132" s="58" t="s">
        <v>204</v>
      </c>
      <c r="C132" s="2">
        <v>8.2999999999999989</v>
      </c>
      <c r="D132" s="2">
        <v>16.100000000000001</v>
      </c>
      <c r="E132" s="2">
        <v>24.799999999999997</v>
      </c>
      <c r="F132" s="2">
        <v>9.3000000000000007</v>
      </c>
      <c r="G132" s="2">
        <v>18</v>
      </c>
      <c r="H132" s="2">
        <v>27.7</v>
      </c>
      <c r="I132" s="2">
        <v>8.2999999999999989</v>
      </c>
      <c r="J132" s="2">
        <v>16.100000000000001</v>
      </c>
      <c r="K132" s="2">
        <v>24.799999999999997</v>
      </c>
      <c r="L132" s="2">
        <v>36.949999999999996</v>
      </c>
      <c r="M132" s="2">
        <v>78</v>
      </c>
      <c r="N132" s="2">
        <v>3.08</v>
      </c>
      <c r="O132" s="2">
        <v>-1.909</v>
      </c>
      <c r="P132" s="2" t="s">
        <v>59</v>
      </c>
      <c r="Q132" s="20">
        <v>0</v>
      </c>
      <c r="AB132" s="6" t="str">
        <f>'LOCUS PH-G'!$C$4</f>
        <v>LINE 7</v>
      </c>
      <c r="AC132" s="6" t="b">
        <f t="shared" si="3"/>
        <v>0</v>
      </c>
    </row>
    <row r="133" spans="1:29">
      <c r="A133" s="6">
        <v>132</v>
      </c>
      <c r="B133" s="6" t="s">
        <v>205</v>
      </c>
      <c r="C133" s="2">
        <v>21.283999999999999</v>
      </c>
      <c r="D133" s="2">
        <v>30.529</v>
      </c>
      <c r="E133" s="2">
        <v>42.567</v>
      </c>
      <c r="F133" s="2">
        <v>13.856</v>
      </c>
      <c r="G133" s="2">
        <v>19.875</v>
      </c>
      <c r="H133" s="2">
        <v>27.713000000000001</v>
      </c>
      <c r="I133" s="2">
        <v>21.283999999999999</v>
      </c>
      <c r="J133" s="2">
        <v>30.529</v>
      </c>
      <c r="K133" s="2">
        <v>42.567</v>
      </c>
      <c r="L133" s="2">
        <v>36.950000000000003</v>
      </c>
      <c r="M133" s="2">
        <v>78.051400000000001</v>
      </c>
      <c r="N133" s="2">
        <v>3.08026</v>
      </c>
      <c r="O133" s="2">
        <v>-1.90923</v>
      </c>
      <c r="P133" s="2" t="s">
        <v>60</v>
      </c>
      <c r="Q133" s="20">
        <v>0</v>
      </c>
      <c r="AB133" s="6" t="str">
        <f>'LOCUS PH-G'!$C$4</f>
        <v>LINE 7</v>
      </c>
      <c r="AC133" s="6" t="b">
        <f t="shared" si="3"/>
        <v>0</v>
      </c>
    </row>
    <row r="134" spans="1:29">
      <c r="A134" s="6">
        <v>133</v>
      </c>
      <c r="B134" s="6" t="s">
        <v>206</v>
      </c>
      <c r="C134" s="2">
        <v>30.567</v>
      </c>
      <c r="D134" s="2">
        <v>42.133000000000003</v>
      </c>
      <c r="E134" s="2">
        <v>61.134</v>
      </c>
      <c r="F134" s="2">
        <v>13.856</v>
      </c>
      <c r="G134" s="2">
        <v>19.099</v>
      </c>
      <c r="H134" s="2">
        <v>27.713000000000001</v>
      </c>
      <c r="I134" s="2">
        <v>30.567</v>
      </c>
      <c r="J134" s="2">
        <v>42.133000000000003</v>
      </c>
      <c r="K134" s="2">
        <v>61.134</v>
      </c>
      <c r="L134" s="2">
        <v>36.950000000000003</v>
      </c>
      <c r="M134" s="2">
        <v>78.051400000000001</v>
      </c>
      <c r="N134" s="2">
        <v>3.08026</v>
      </c>
      <c r="O134" s="2">
        <v>-1.90923</v>
      </c>
      <c r="P134" s="2" t="s">
        <v>60</v>
      </c>
      <c r="Q134" s="20">
        <v>0</v>
      </c>
      <c r="AB134" s="6" t="str">
        <f>'LOCUS PH-G'!$C$4</f>
        <v>LINE 7</v>
      </c>
      <c r="AC134" s="6" t="b">
        <f t="shared" si="3"/>
        <v>0</v>
      </c>
    </row>
    <row r="135" spans="1:29">
      <c r="A135" s="6">
        <v>134</v>
      </c>
      <c r="B135" s="6" t="s">
        <v>207</v>
      </c>
      <c r="C135" s="2">
        <v>3.0510000000000002</v>
      </c>
      <c r="D135" s="2">
        <v>5.319</v>
      </c>
      <c r="E135" s="2">
        <v>7.4969999999999999</v>
      </c>
      <c r="F135" s="2">
        <v>2.2549999999999999</v>
      </c>
      <c r="G135" s="2">
        <v>3.3919999999999999</v>
      </c>
      <c r="H135" s="2">
        <v>5.5430000000000001</v>
      </c>
      <c r="I135" s="2">
        <v>3.0510000000000002</v>
      </c>
      <c r="J135" s="2">
        <v>5.319</v>
      </c>
      <c r="K135" s="2">
        <v>7.4969999999999999</v>
      </c>
      <c r="L135" s="2">
        <v>7.39</v>
      </c>
      <c r="M135" s="2">
        <v>78.051400000000001</v>
      </c>
      <c r="N135" s="2">
        <v>3.08026</v>
      </c>
      <c r="O135" s="2">
        <v>-1.90923</v>
      </c>
      <c r="P135" s="2" t="s">
        <v>59</v>
      </c>
      <c r="Q135" s="20">
        <v>0</v>
      </c>
      <c r="AB135" s="6" t="str">
        <f>'LOCUS PH-G'!$C$4</f>
        <v>LINE 7</v>
      </c>
      <c r="AC135" s="6" t="b">
        <f t="shared" si="3"/>
        <v>0</v>
      </c>
    </row>
    <row r="136" spans="1:29">
      <c r="A136" s="6">
        <v>135</v>
      </c>
      <c r="B136" s="6" t="s">
        <v>208</v>
      </c>
      <c r="C136" s="2">
        <v>17.815999999999999</v>
      </c>
      <c r="D136" s="2">
        <v>25.321000000000002</v>
      </c>
      <c r="E136" s="2">
        <v>35.631</v>
      </c>
      <c r="F136" s="2">
        <v>13.856</v>
      </c>
      <c r="G136" s="2">
        <v>19.693999999999999</v>
      </c>
      <c r="H136" s="2">
        <v>27.713000000000001</v>
      </c>
      <c r="I136" s="2">
        <v>17.815999999999999</v>
      </c>
      <c r="J136" s="2">
        <v>25.321000000000002</v>
      </c>
      <c r="K136" s="2">
        <v>35.631</v>
      </c>
      <c r="L136" s="2">
        <v>36.950000000000003</v>
      </c>
      <c r="M136" s="2">
        <v>53.415599999999998</v>
      </c>
      <c r="N136" s="2">
        <v>4.1399999999999997</v>
      </c>
      <c r="O136" s="2">
        <v>26.596</v>
      </c>
      <c r="P136" s="2" t="s">
        <v>60</v>
      </c>
      <c r="Q136" s="20">
        <v>1</v>
      </c>
      <c r="AB136" s="6" t="str">
        <f>'LOCUS PH-G'!$C$4</f>
        <v>LINE 7</v>
      </c>
      <c r="AC136" s="6" t="b">
        <f t="shared" si="3"/>
        <v>0</v>
      </c>
    </row>
    <row r="137" spans="1:29">
      <c r="A137" s="6">
        <v>136</v>
      </c>
      <c r="B137" s="6" t="s">
        <v>209</v>
      </c>
      <c r="C137" s="2">
        <v>2.1219999999999999</v>
      </c>
      <c r="D137" s="2">
        <v>8.68</v>
      </c>
      <c r="E137" s="2">
        <v>21.254000000000001</v>
      </c>
      <c r="F137" s="2">
        <v>2.77</v>
      </c>
      <c r="G137" s="2">
        <v>11.313000000000001</v>
      </c>
      <c r="H137" s="2">
        <v>27.713000000000001</v>
      </c>
      <c r="I137" s="2">
        <v>2.1219999999999999</v>
      </c>
      <c r="J137" s="2">
        <v>8.68</v>
      </c>
      <c r="K137" s="2">
        <v>21.254000000000001</v>
      </c>
      <c r="L137" s="2">
        <v>36.950000000000003</v>
      </c>
      <c r="M137" s="2">
        <v>53.415599999999998</v>
      </c>
      <c r="N137" s="2">
        <v>4.1399999999999997</v>
      </c>
      <c r="O137" s="2">
        <v>26.596</v>
      </c>
      <c r="P137" s="2" t="s">
        <v>60</v>
      </c>
      <c r="Q137" s="20">
        <v>0</v>
      </c>
      <c r="AB137" s="6" t="str">
        <f>'LOCUS PH-G'!$C$4</f>
        <v>LINE 7</v>
      </c>
      <c r="AC137" s="6" t="b">
        <f t="shared" si="3"/>
        <v>0</v>
      </c>
    </row>
    <row r="138" spans="1:29">
      <c r="A138" s="6">
        <v>137</v>
      </c>
      <c r="B138" s="6" t="s">
        <v>210</v>
      </c>
      <c r="C138" s="2">
        <v>0.97699999999999998</v>
      </c>
      <c r="D138" s="2">
        <v>1.71</v>
      </c>
      <c r="E138" s="2">
        <v>2.4180000000000001</v>
      </c>
      <c r="F138" s="2">
        <v>12.317</v>
      </c>
      <c r="G138" s="2">
        <v>21.553999999999998</v>
      </c>
      <c r="H138" s="2">
        <v>30.484000000000002</v>
      </c>
      <c r="I138" s="2">
        <v>0.97699999999999998</v>
      </c>
      <c r="J138" s="2">
        <v>1.71</v>
      </c>
      <c r="K138" s="2">
        <v>2.4180000000000001</v>
      </c>
      <c r="L138" s="2">
        <v>40.645000000000003</v>
      </c>
      <c r="M138" s="2">
        <v>80.982699999999994</v>
      </c>
      <c r="N138" s="2">
        <v>2.4346999999999999</v>
      </c>
      <c r="O138" s="2">
        <v>-25.53</v>
      </c>
      <c r="P138" s="2" t="s">
        <v>60</v>
      </c>
      <c r="Q138" s="20">
        <v>0</v>
      </c>
      <c r="AB138" s="6" t="str">
        <f>'LOCUS PH-G'!$C$4</f>
        <v>LINE 7</v>
      </c>
      <c r="AC138" s="6" t="b">
        <f t="shared" si="3"/>
        <v>0</v>
      </c>
    </row>
    <row r="139" spans="1:29">
      <c r="A139" s="6">
        <v>138</v>
      </c>
      <c r="B139" s="6" t="s">
        <v>211</v>
      </c>
      <c r="C139" s="2">
        <v>0.97699999999999998</v>
      </c>
      <c r="D139" s="2">
        <v>1.71</v>
      </c>
      <c r="E139" s="2">
        <v>2.4180000000000001</v>
      </c>
      <c r="F139" s="2">
        <v>12.317</v>
      </c>
      <c r="G139" s="2">
        <v>21.553999999999998</v>
      </c>
      <c r="H139" s="2">
        <v>30.484000000000002</v>
      </c>
      <c r="I139" s="2">
        <v>0.97699999999999998</v>
      </c>
      <c r="J139" s="2">
        <v>1.71</v>
      </c>
      <c r="K139" s="2">
        <v>2.4180000000000001</v>
      </c>
      <c r="L139" s="2">
        <v>40.645000000000003</v>
      </c>
      <c r="M139" s="2">
        <v>80.982699999999994</v>
      </c>
      <c r="N139" s="2">
        <v>2.4346999999999999</v>
      </c>
      <c r="O139" s="2">
        <v>-25.53</v>
      </c>
      <c r="P139" s="2" t="s">
        <v>60</v>
      </c>
      <c r="Q139" s="20">
        <v>0</v>
      </c>
      <c r="AB139" s="6" t="str">
        <f>'LOCUS PH-G'!$C$4</f>
        <v>LINE 7</v>
      </c>
      <c r="AC139" s="6" t="b">
        <f>IF(AB139=B139,A139)</f>
        <v>0</v>
      </c>
    </row>
    <row r="140" spans="1:29">
      <c r="A140" s="6">
        <v>139</v>
      </c>
      <c r="B140" s="59" t="s">
        <v>212</v>
      </c>
      <c r="C140" s="2">
        <v>16.0625</v>
      </c>
      <c r="D140" s="2">
        <v>25.587499999999999</v>
      </c>
      <c r="E140" s="2">
        <v>39.199999999999996</v>
      </c>
      <c r="F140" s="2">
        <v>14.2</v>
      </c>
      <c r="G140" s="2">
        <v>22.612499999999997</v>
      </c>
      <c r="H140" s="2">
        <v>34.637499999999996</v>
      </c>
      <c r="I140" s="2">
        <v>16.0625</v>
      </c>
      <c r="J140" s="2">
        <v>25.587499999999999</v>
      </c>
      <c r="K140" s="2">
        <v>39.199999999999996</v>
      </c>
      <c r="L140" s="2">
        <v>46.1875</v>
      </c>
      <c r="M140" s="2">
        <v>75</v>
      </c>
      <c r="N140" s="2">
        <v>6.181</v>
      </c>
      <c r="O140" s="2">
        <v>-2.5499999999999998</v>
      </c>
      <c r="P140" s="2" t="s">
        <v>60</v>
      </c>
      <c r="Q140" s="20">
        <v>1</v>
      </c>
      <c r="AB140" s="6" t="str">
        <f>'LOCUS PH-G'!$C$4</f>
        <v>LINE 7</v>
      </c>
      <c r="AC140" s="6" t="b">
        <f>IF(AB140=B140,A140)</f>
        <v>0</v>
      </c>
    </row>
    <row r="141" spans="1:29">
      <c r="A141" s="6">
        <v>140</v>
      </c>
      <c r="B141" s="59" t="s">
        <v>213</v>
      </c>
      <c r="C141" s="2">
        <v>16.0625</v>
      </c>
      <c r="D141" s="2">
        <v>25.587499999999999</v>
      </c>
      <c r="E141" s="2">
        <v>39.199999999999996</v>
      </c>
      <c r="F141" s="2">
        <v>14.2</v>
      </c>
      <c r="G141" s="2">
        <v>22.612499999999997</v>
      </c>
      <c r="H141" s="2">
        <v>34.637499999999996</v>
      </c>
      <c r="I141" s="2">
        <v>16.0625</v>
      </c>
      <c r="J141" s="2">
        <v>25.587499999999999</v>
      </c>
      <c r="K141" s="2">
        <v>39.199999999999996</v>
      </c>
      <c r="L141" s="2">
        <v>46.1875</v>
      </c>
      <c r="M141" s="2">
        <v>75</v>
      </c>
      <c r="N141" s="2">
        <v>6.181</v>
      </c>
      <c r="O141" s="2">
        <v>-2.5499999999999998</v>
      </c>
      <c r="P141" s="2" t="s">
        <v>60</v>
      </c>
      <c r="Q141" s="20">
        <v>2</v>
      </c>
      <c r="AB141" s="6" t="str">
        <f>'LOCUS PH-G'!$C$4</f>
        <v>LINE 7</v>
      </c>
      <c r="AC141" s="6" t="b">
        <f t="shared" ref="AC141" si="4">IF(AB141=B141,A141)</f>
        <v>0</v>
      </c>
    </row>
    <row r="142" spans="1:29">
      <c r="A142" s="6">
        <v>141</v>
      </c>
      <c r="B142" s="61" t="s">
        <v>214</v>
      </c>
      <c r="C142" s="60">
        <v>10.066917261734011</v>
      </c>
      <c r="D142" s="60">
        <v>16.996648400387237</v>
      </c>
      <c r="E142" s="60">
        <v>28.3387144434415</v>
      </c>
      <c r="F142" s="60">
        <v>11.10090909090909</v>
      </c>
      <c r="G142" s="60">
        <v>18.741818181818179</v>
      </c>
      <c r="H142" s="60">
        <v>31.247272727272726</v>
      </c>
      <c r="I142" s="60">
        <v>10.066917261734011</v>
      </c>
      <c r="J142" s="60">
        <v>16.996648400387237</v>
      </c>
      <c r="K142" s="60">
        <v>28.3387144434415</v>
      </c>
      <c r="L142" s="60">
        <v>41.663636363636357</v>
      </c>
      <c r="M142" s="60">
        <v>78</v>
      </c>
      <c r="N142" s="60">
        <v>3.08</v>
      </c>
      <c r="O142" s="60">
        <v>-1.909</v>
      </c>
      <c r="P142" s="2" t="s">
        <v>60</v>
      </c>
      <c r="AB142" s="21" t="s">
        <v>62</v>
      </c>
      <c r="AC142" s="22">
        <f>SUM(AC2:AC141)</f>
        <v>7</v>
      </c>
    </row>
    <row r="143" spans="1:29">
      <c r="A143" s="6">
        <v>142</v>
      </c>
      <c r="B143" s="61" t="s">
        <v>215</v>
      </c>
      <c r="C143" s="60">
        <v>13.880803679504275</v>
      </c>
      <c r="D143" s="60">
        <v>24.650208763583475</v>
      </c>
      <c r="E143" s="60">
        <v>35.325355987955597</v>
      </c>
      <c r="F143" s="60">
        <v>12.278181818181817</v>
      </c>
      <c r="G143" s="60">
        <v>21.805454545454545</v>
      </c>
      <c r="H143" s="60">
        <v>31.247272727272726</v>
      </c>
      <c r="I143" s="60">
        <v>13.880803679504275</v>
      </c>
      <c r="J143" s="60">
        <v>24.650208763583475</v>
      </c>
      <c r="K143" s="60">
        <v>35.325355987955597</v>
      </c>
      <c r="L143" s="60">
        <v>41.663636363636357</v>
      </c>
      <c r="M143" s="60">
        <v>78</v>
      </c>
      <c r="N143" s="60">
        <v>3.08</v>
      </c>
      <c r="O143" s="60">
        <v>-1.909</v>
      </c>
      <c r="P143" s="2" t="s">
        <v>60</v>
      </c>
    </row>
  </sheetData>
  <mergeCells count="1">
    <mergeCell ref="AB1:AC1"/>
  </mergeCells>
  <phoneticPr fontId="13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LOCUS PH-G</vt:lpstr>
      <vt:lpstr>scroll sinusoidal data</vt:lpstr>
      <vt:lpstr>CHAR DATA</vt:lpstr>
      <vt:lpstr>LINE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Fauzan Zharfan</dc:creator>
  <cp:lastModifiedBy>Ega Guntara</cp:lastModifiedBy>
  <dcterms:created xsi:type="dcterms:W3CDTF">2020-01-08T13:30:00Z</dcterms:created>
  <dcterms:modified xsi:type="dcterms:W3CDTF">2024-02-17T16:04:02Z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1033-11.2.0.9453</vt:lpwstr>
  </property>
</Properties>
</file>